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Load_Calc" sheetId="3" state="visible" r:id="rId5"/>
    <sheet name="Sizing" sheetId="4" state="visible" r:id="rId6"/>
    <sheet name="Cables" sheetId="5" state="visible" r:id="rId7"/>
    <sheet name="ShortCircuit" sheetId="6" state="visible" r:id="rId8"/>
    <sheet name="Protection" sheetId="7" state="visible" r:id="rId9"/>
    <sheet name="Reliability" sheetId="8" state="visible" r:id="rId10"/>
    <sheet name="Failure_Scenarios" sheetId="9" state="visible" r:id="rId11"/>
    <sheet name="BOM" sheetId="10" state="visible" r:id="rId12"/>
    <sheet name="Std_Siz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<sst xmlns="http://schemas.openxmlformats.org/spreadsheetml/2006/main" count="685" uniqueCount="504">
  <si>
    <t xml:space="preserve">Data Centre Electrical Design: 2N architecture (summary)</t>
  </si>
  <si>
    <t xml:space="preserve">1 MW IT scenario. All values link to the calculation sheets. Change Inputs to re-size the design.</t>
  </si>
  <si>
    <t xml:space="preserve">Item</t>
  </si>
  <si>
    <t xml:space="preserve">Result</t>
  </si>
  <si>
    <t xml:space="preserve">Unit</t>
  </si>
  <si>
    <t xml:space="preserve">Where calculated</t>
  </si>
  <si>
    <t xml:space="preserve">IT load</t>
  </si>
  <si>
    <t xml:space="preserve">kW</t>
  </si>
  <si>
    <t xml:space="preserve">Inputs</t>
  </si>
  <si>
    <t xml:space="preserve">Total facility load</t>
  </si>
  <si>
    <t xml:space="preserve">PUE</t>
  </si>
  <si>
    <t xml:space="preserve">-</t>
  </si>
  <si>
    <t xml:space="preserve">Design load per path (failover + growth)</t>
  </si>
  <si>
    <t xml:space="preserve">kVA</t>
  </si>
  <si>
    <t xml:space="preserve">Load_Calc</t>
  </si>
  <si>
    <t xml:space="preserve">Transformer per path</t>
  </si>
  <si>
    <t xml:space="preserve">Sizing</t>
  </si>
  <si>
    <t xml:space="preserve">Transformer loading, normal / failover</t>
  </si>
  <si>
    <t xml:space="preserve">UPS per path</t>
  </si>
  <si>
    <t xml:space="preserve">UPS loading, normal / failover</t>
  </si>
  <si>
    <t xml:space="preserve">Battery per UPS (installed)</t>
  </si>
  <si>
    <t xml:space="preserve">Generator per path</t>
  </si>
  <si>
    <t xml:space="preserve">Fuel tank per generator</t>
  </si>
  <si>
    <t xml:space="preserve">L</t>
  </si>
  <si>
    <t xml:space="preserve">PDUs per path</t>
  </si>
  <si>
    <t xml:space="preserve">Fault level at LV bus (incl. motors)</t>
  </si>
  <si>
    <t xml:space="preserve">kA</t>
  </si>
  <si>
    <t xml:space="preserve">ShortCircuit</t>
  </si>
  <si>
    <t xml:space="preserve">LV equipment breaking rating</t>
  </si>
  <si>
    <t xml:space="preserve">Voltage drop, UPS output to rack</t>
  </si>
  <si>
    <t xml:space="preserve">Cables</t>
  </si>
  <si>
    <t xml:space="preserve">Availability, single path</t>
  </si>
  <si>
    <t xml:space="preserve">Reliability</t>
  </si>
  <si>
    <t xml:space="preserve">Availability, 2N</t>
  </si>
  <si>
    <t xml:space="preserve">Expected downtime, 2N</t>
  </si>
  <si>
    <t xml:space="preserve">min/year</t>
  </si>
  <si>
    <t xml:space="preserve">Expected downtime, single path</t>
  </si>
  <si>
    <t xml:space="preserve">h/year</t>
  </si>
  <si>
    <t xml:space="preserve">Design checks</t>
  </si>
  <si>
    <t xml:space="preserve">Check</t>
  </si>
  <si>
    <t xml:space="preserve">Status</t>
  </si>
  <si>
    <t xml:space="preserve">Transformer loading (failover + growth) within limit</t>
  </si>
  <si>
    <t xml:space="preserve">UPS can carry 100% IT load after other path fails</t>
  </si>
  <si>
    <t xml:space="preserve">PDU can carry 100% IT load after other path fails</t>
  </si>
  <si>
    <t xml:space="preserve">Generator covers failover facility load</t>
  </si>
  <si>
    <t xml:space="preserve">Cable ampacity (all feeders)</t>
  </si>
  <si>
    <t xml:space="preserve">Cable voltage drop (all feeders and total)</t>
  </si>
  <si>
    <t xml:space="preserve">Cable short-circuit withstand</t>
  </si>
  <si>
    <t xml:space="preserve">Breaking capacity &gt;= fault level (all points)</t>
  </si>
  <si>
    <t xml:space="preserve">Breaker frame and Ir coordination with load</t>
  </si>
  <si>
    <t xml:space="preserve">MV relay graded above LV main ACB</t>
  </si>
  <si>
    <t xml:space="preserve">Rack branch current within 80% of breaker</t>
  </si>
  <si>
    <t xml:space="preserve">Overall</t>
  </si>
  <si>
    <t xml:space="preserve">Sheets: Inputs &gt; Load_Calc &gt; Sizing &gt; Cables &gt; ShortCircuit &gt; Protection &gt; Reliability &gt; Failure_Scenarios &gt; BOM &gt; Std_Sizes</t>
  </si>
  <si>
    <t xml:space="preserve">Colour legend: blue on yellow = input; black = formula; green = link from another sheet. Hardcoded assumptions are documented next to the cell.</t>
  </si>
  <si>
    <t xml:space="preserve">Inputs and design basis</t>
  </si>
  <si>
    <t xml:space="preserve">Blue text on yellow = editable input. Black = formula. All other sheets recalculate from here.</t>
  </si>
  <si>
    <t xml:space="preserve">Parameter</t>
  </si>
  <si>
    <t xml:space="preserve">Value</t>
  </si>
  <si>
    <t xml:space="preserve">Source / remark</t>
  </si>
  <si>
    <t xml:space="preserve">1. Facility load definition</t>
  </si>
  <si>
    <t xml:space="preserve">Number of racks</t>
  </si>
  <si>
    <t xml:space="preserve">nos</t>
  </si>
  <si>
    <t xml:space="preserve">Project scenario (assumption)</t>
  </si>
  <si>
    <t xml:space="preserve">Average IT load per rack</t>
  </si>
  <si>
    <t xml:space="preserve">Typical enterprise / colocation density</t>
  </si>
  <si>
    <t xml:space="preserve">Total IT load</t>
  </si>
  <si>
    <t xml:space="preserve">Calculated</t>
  </si>
  <si>
    <t xml:space="preserve">Cooling load (chillers, CRAH, pumps)</t>
  </si>
  <si>
    <t xml:space="preserve">Assumption: ~80% of overhead so that PUE ≈ 1.5</t>
  </si>
  <si>
    <t xml:space="preserve">Lighting, security, BMS, fire and other auxiliaries</t>
  </si>
  <si>
    <t xml:space="preserve">Assumption</t>
  </si>
  <si>
    <t xml:space="preserve">UPS and distribution losses</t>
  </si>
  <si>
    <t xml:space="preserve">Assumption: ~4% of IT load</t>
  </si>
  <si>
    <t xml:space="preserve">PUE (derived)</t>
  </si>
  <si>
    <t xml:space="preserve">Target about 1.5</t>
  </si>
  <si>
    <t xml:space="preserve">2. Electrical design basis</t>
  </si>
  <si>
    <t xml:space="preserve">Facility power factor at LV (before correction)</t>
  </si>
  <si>
    <t xml:space="preserve">Assumption (mixed IT + mechanical load)</t>
  </si>
  <si>
    <t xml:space="preserve">Future growth margin</t>
  </si>
  <si>
    <t xml:space="preserve">Design margin on load (20-30% typical)</t>
  </si>
  <si>
    <t xml:space="preserve">Maximum transformer loading at design (failover + growth)</t>
  </si>
  <si>
    <t xml:space="preserve">Design rule: keep thermal margin</t>
  </si>
  <si>
    <t xml:space="preserve">Utility MV supply voltage</t>
  </si>
  <si>
    <t xml:space="preserve">kV</t>
  </si>
  <si>
    <t xml:space="preserve">Typical DISCOM supply; confirm with PSPCL</t>
  </si>
  <si>
    <t xml:space="preserve">LV system voltage</t>
  </si>
  <si>
    <t xml:space="preserve">V</t>
  </si>
  <si>
    <t xml:space="preserve">3-phase 4-wire, 50 Hz, TN-S</t>
  </si>
  <si>
    <t xml:space="preserve">Utility fault level at 11 kV</t>
  </si>
  <si>
    <t xml:space="preserve">MVA</t>
  </si>
  <si>
    <t xml:space="preserve">ASSUMPTION (about 13 kA). Obtain the real value from the DISCOM</t>
  </si>
  <si>
    <t xml:space="preserve">Transformer impedance</t>
  </si>
  <si>
    <t xml:space="preserve">pu</t>
  </si>
  <si>
    <t xml:space="preserve">6.25% typical for 2500 kVA (IS 2026)</t>
  </si>
  <si>
    <t xml:space="preserve">Design ambient temperature</t>
  </si>
  <si>
    <t xml:space="preserve">°C</t>
  </si>
  <si>
    <t xml:space="preserve">Punjab summer design condition</t>
  </si>
  <si>
    <t xml:space="preserve">Temperature derating factor, XLPE at 45°C</t>
  </si>
  <si>
    <t xml:space="preserve">IEC 60364-5-52 (reference 30°C)</t>
  </si>
  <si>
    <t xml:space="preserve">Grouping derating factor</t>
  </si>
  <si>
    <t xml:space="preserve">Multiple circuits on a tray (assumption)</t>
  </si>
  <si>
    <t xml:space="preserve">3. UPS and battery</t>
  </si>
  <si>
    <t xml:space="preserve">UPS output power factor (kW/kVA)</t>
  </si>
  <si>
    <t xml:space="preserve">Modern double-conversion UPS (IEC 62040-3)</t>
  </si>
  <si>
    <t xml:space="preserve">UPS efficiency (double conversion)</t>
  </si>
  <si>
    <t xml:space="preserve">Typical 95-97%</t>
  </si>
  <si>
    <t xml:space="preserve">Battery recharge allowance on UPS input</t>
  </si>
  <si>
    <t xml:space="preserve">10% extra input while recharging</t>
  </si>
  <si>
    <t xml:space="preserve">UPS input power factor</t>
  </si>
  <si>
    <t xml:space="preserve">Active / IGBT front end</t>
  </si>
  <si>
    <t xml:space="preserve">Battery autonomy</t>
  </si>
  <si>
    <t xml:space="preserve">min</t>
  </si>
  <si>
    <t xml:space="preserve">Typical 5-15 min until generator is stable</t>
  </si>
  <si>
    <t xml:space="preserve">Number of VRLA cells per string</t>
  </si>
  <si>
    <t xml:space="preserve">240 cells x 2 V = 480 V nominal DC bus</t>
  </si>
  <si>
    <t xml:space="preserve">End-of-discharge voltage per cell</t>
  </si>
  <si>
    <t xml:space="preserve">Typical for high-rate discharge</t>
  </si>
  <si>
    <t xml:space="preserve">Battery ageing factor</t>
  </si>
  <si>
    <t xml:space="preserve">End of life at 80% capacity</t>
  </si>
  <si>
    <t xml:space="preserve">Battery design margin</t>
  </si>
  <si>
    <t xml:space="preserve">Usable fraction of nominal energy at 10 min rate</t>
  </si>
  <si>
    <t xml:space="preserve">PRELIMINARY. Validate with manufacturer constant-power tables</t>
  </si>
  <si>
    <t xml:space="preserve">Battery string capacity (nominal)</t>
  </si>
  <si>
    <t xml:space="preserve">Ah</t>
  </si>
  <si>
    <t xml:space="preserve">Selected block size (assumption)</t>
  </si>
  <si>
    <t xml:space="preserve">4. Generator</t>
  </si>
  <si>
    <t xml:space="preserve">Generator power factor</t>
  </si>
  <si>
    <t xml:space="preserve">Standard genset rating</t>
  </si>
  <si>
    <t xml:space="preserve">Derating for UPS rectifier harmonics and step load</t>
  </si>
  <si>
    <t xml:space="preserve">1.10 for active front end; 1.25-1.4 for 6-pulse rectifier</t>
  </si>
  <si>
    <t xml:space="preserve">Generator sub-transient reactance X''d</t>
  </si>
  <si>
    <t xml:space="preserve">Typical 10-15%</t>
  </si>
  <si>
    <t xml:space="preserve">Extra standby gensets per path (N+1)</t>
  </si>
  <si>
    <t xml:space="preserve">0 = one genset per path. Set 1 for N+1 per path</t>
  </si>
  <si>
    <t xml:space="preserve">Fuel autonomy</t>
  </si>
  <si>
    <t xml:space="preserve">h</t>
  </si>
  <si>
    <t xml:space="preserve">Design choice (Tier III needs minimum 12 h)</t>
  </si>
  <si>
    <t xml:space="preserve">Specific fuel consumption</t>
  </si>
  <si>
    <t xml:space="preserve">L/kWh</t>
  </si>
  <si>
    <t xml:space="preserve">Typical diesel genset at 75% load</t>
  </si>
  <si>
    <t xml:space="preserve">5. PDU, RPP and rack</t>
  </si>
  <si>
    <t xml:space="preserve">Design choice</t>
  </si>
  <si>
    <t xml:space="preserve">IT load power factor</t>
  </si>
  <si>
    <t xml:space="preserve">Maximum PDU loading</t>
  </si>
  <si>
    <t xml:space="preserve">Design rule</t>
  </si>
  <si>
    <t xml:space="preserve">RPPs per PDU</t>
  </si>
  <si>
    <t xml:space="preserve">Rack branch voltage (1-phase)</t>
  </si>
  <si>
    <t xml:space="preserve">Rack branch breaker</t>
  </si>
  <si>
    <t xml:space="preserve">A</t>
  </si>
  <si>
    <t xml:space="preserve">32 A MCB per rack feed</t>
  </si>
  <si>
    <t xml:space="preserve">6. Motor load (short-circuit contribution)</t>
  </si>
  <si>
    <t xml:space="preserve">Motor load connected to LV board</t>
  </si>
  <si>
    <t xml:space="preserve">Assumes all cooling load as motors (conservative)</t>
  </si>
  <si>
    <t xml:space="preserve">Motor power factor</t>
  </si>
  <si>
    <t xml:space="preserve">Motor contribution multiple of FLC</t>
  </si>
  <si>
    <t xml:space="preserve">x</t>
  </si>
  <si>
    <t xml:space="preserve">IEC 60909: 4-6 x FLC</t>
  </si>
  <si>
    <t xml:space="preserve">7. Feeder route lengths</t>
  </si>
  <si>
    <t xml:space="preserve">LV essential board to UPS input</t>
  </si>
  <si>
    <t xml:space="preserve">m</t>
  </si>
  <si>
    <t xml:space="preserve">Layout assumption</t>
  </si>
  <si>
    <t xml:space="preserve">UPS output board to PDU</t>
  </si>
  <si>
    <t xml:space="preserve">LV essential board to mechanical MCC</t>
  </si>
  <si>
    <t xml:space="preserve">RPP to rack</t>
  </si>
  <si>
    <t xml:space="preserve">8. Architecture</t>
  </si>
  <si>
    <t xml:space="preserve">Redundancy</t>
  </si>
  <si>
    <t xml:space="preserve">2N</t>
  </si>
  <si>
    <t xml:space="preserve">Two fully independent paths, A and B</t>
  </si>
  <si>
    <t xml:space="preserve">Step 1: Load calculation</t>
  </si>
  <si>
    <t xml:space="preserve">Each path (A or B) must carry the complete facility load when the other path is lost (2N).</t>
  </si>
  <si>
    <t xml:space="preserve">Facility load</t>
  </si>
  <si>
    <t xml:space="preserve">Cooling</t>
  </si>
  <si>
    <t xml:space="preserve">Auxiliaries</t>
  </si>
  <si>
    <t xml:space="preserve">Total facility apparent power</t>
  </si>
  <si>
    <t xml:space="preserve">kW / power factor</t>
  </si>
  <si>
    <t xml:space="preserve">Per-path loading</t>
  </si>
  <si>
    <t xml:space="preserve">Each path, normal operation (50% share)</t>
  </si>
  <si>
    <t xml:space="preserve">A and B share load equally</t>
  </si>
  <si>
    <t xml:space="preserve">Each path, normal operation</t>
  </si>
  <si>
    <t xml:space="preserve">Each path, failover (100% of load)</t>
  </si>
  <si>
    <t xml:space="preserve">One path carries everything after the other fails</t>
  </si>
  <si>
    <t xml:space="preserve">Each path, failover</t>
  </si>
  <si>
    <t xml:space="preserve">Design values with growth margin</t>
  </si>
  <si>
    <t xml:space="preserve">Design apparent power per path</t>
  </si>
  <si>
    <t xml:space="preserve">Used for transformer sizing</t>
  </si>
  <si>
    <t xml:space="preserve">Design IT load per path (failover + growth)</t>
  </si>
  <si>
    <t xml:space="preserve">Used for UPS and PDU sizing</t>
  </si>
  <si>
    <t xml:space="preserve">Load breakdown</t>
  </si>
  <si>
    <t xml:space="preserve">% of total</t>
  </si>
  <si>
    <t xml:space="preserve">Losses</t>
  </si>
  <si>
    <t xml:space="preserve">Step 3: Equipment sizing (per path)</t>
  </si>
  <si>
    <t xml:space="preserve">Quantities in the BOM are per path x 2. Results update from Inputs.</t>
  </si>
  <si>
    <t xml:space="preserve">Transformer</t>
  </si>
  <si>
    <t xml:space="preserve">Required kVA = design kVA / max loading</t>
  </si>
  <si>
    <t xml:space="preserve">Selected transformer</t>
  </si>
  <si>
    <t xml:space="preserve">Next standard size. 11/0.415 kV, Dyn11, ONAN, Z = 6.25%</t>
  </si>
  <si>
    <t xml:space="preserve">LV full-load current</t>
  </si>
  <si>
    <t xml:space="preserve">MV full-load current</t>
  </si>
  <si>
    <t xml:space="preserve">Loading, normal (50% share)</t>
  </si>
  <si>
    <t xml:space="preserve">Loading, failover (100%)</t>
  </si>
  <si>
    <t xml:space="preserve">Without growth margin</t>
  </si>
  <si>
    <t xml:space="preserve">Loading, failover + growth</t>
  </si>
  <si>
    <t xml:space="preserve">Must be &lt;= max loading</t>
  </si>
  <si>
    <t xml:space="preserve">TR secondary busduct / ACB frame</t>
  </si>
  <si>
    <t xml:space="preserve">Smallest standard frame &gt;= full-load current</t>
  </si>
  <si>
    <t xml:space="preserve">UPS</t>
  </si>
  <si>
    <t xml:space="preserve">Required UPS = design IT load / UPS PF</t>
  </si>
  <si>
    <t xml:space="preserve">Selected UPS (per path)</t>
  </si>
  <si>
    <t xml:space="preserve">Next standard size</t>
  </si>
  <si>
    <t xml:space="preserve">UPS loading, normal (50% IT)</t>
  </si>
  <si>
    <t xml:space="preserve">Note: UPS efficiency falls at low load</t>
  </si>
  <si>
    <t xml:space="preserve">UPS loading, failover (100% IT)</t>
  </si>
  <si>
    <t xml:space="preserve">Must be &lt;= 100%</t>
  </si>
  <si>
    <t xml:space="preserve">UPS output current at rated load</t>
  </si>
  <si>
    <t xml:space="preserve">UPS input apparent power (incl. battery recharge)</t>
  </si>
  <si>
    <t xml:space="preserve">UPS input current</t>
  </si>
  <si>
    <t xml:space="preserve">Battery (preliminary, validate against manufacturer discharge tables)</t>
  </si>
  <si>
    <t xml:space="preserve">DC power at rated UPS load</t>
  </si>
  <si>
    <t xml:space="preserve">Energy for autonomy</t>
  </si>
  <si>
    <t xml:space="preserve">kWh</t>
  </si>
  <si>
    <t xml:space="preserve">Nominal energy needed (ageing, margin, usable fraction)</t>
  </si>
  <si>
    <t xml:space="preserve">Nominal DC bus voltage</t>
  </si>
  <si>
    <t xml:space="preserve">Required capacity at nominal voltage</t>
  </si>
  <si>
    <t xml:space="preserve">Number of strings</t>
  </si>
  <si>
    <t xml:space="preserve">Installed capacity</t>
  </si>
  <si>
    <t xml:space="preserve">Installed nominal energy</t>
  </si>
  <si>
    <t xml:space="preserve">Discharge current at end-of-discharge voltage</t>
  </si>
  <si>
    <t xml:space="preserve">Discharge current per string</t>
  </si>
  <si>
    <t xml:space="preserve">Generator</t>
  </si>
  <si>
    <t xml:space="preserve">Required kW = design load x harmonic/step derating</t>
  </si>
  <si>
    <t xml:space="preserve">Required kVA</t>
  </si>
  <si>
    <t xml:space="preserve">Selected genset</t>
  </si>
  <si>
    <t xml:space="preserve">Genset kW rating</t>
  </si>
  <si>
    <t xml:space="preserve">Genset loading at present failover load</t>
  </si>
  <si>
    <t xml:space="preserve">Genset loading when both gensets share load</t>
  </si>
  <si>
    <t xml:space="preserve">Below ~30% risks wet stacking. Plan load-bank tests</t>
  </si>
  <si>
    <t xml:space="preserve">Gensets per path (N + extra)</t>
  </si>
  <si>
    <t xml:space="preserve">Genset full-load current</t>
  </si>
  <si>
    <t xml:space="preserve">Fuel consumption at failover load</t>
  </si>
  <si>
    <t xml:space="preserve">L/h</t>
  </si>
  <si>
    <t xml:space="preserve">Fuel tank per genset</t>
  </si>
  <si>
    <t xml:space="preserve">PDU, RPP and rack</t>
  </si>
  <si>
    <t xml:space="preserve">Required PDU kVA</t>
  </si>
  <si>
    <t xml:space="preserve">Selected PDU</t>
  </si>
  <si>
    <t xml:space="preserve">PDU loading, failover</t>
  </si>
  <si>
    <t xml:space="preserve">PDU rated current</t>
  </si>
  <si>
    <t xml:space="preserve">Racks per PDU</t>
  </si>
  <si>
    <t xml:space="preserve">RPPs per path</t>
  </si>
  <si>
    <t xml:space="preserve">Rack feed current at failover (single side carries 100%)</t>
  </si>
  <si>
    <t xml:space="preserve">1-phase</t>
  </si>
  <si>
    <t xml:space="preserve">Branch check: current &lt;= 80% of breaker</t>
  </si>
  <si>
    <t xml:space="preserve">Step 3b: Cable sizing and voltage drop</t>
  </si>
  <si>
    <t xml:space="preserve">Cu XLPE cable. Number of parallel runs is calculated so that derated ampacity &gt;= load current. Voltage-drop limit 3% per feeder.</t>
  </si>
  <si>
    <t xml:space="preserve">Feeder</t>
  </si>
  <si>
    <t xml:space="preserve">Load current Ib (A)</t>
  </si>
  <si>
    <t xml:space="preserve">Voltage (V)</t>
  </si>
  <si>
    <t xml:space="preserve">Phases</t>
  </si>
  <si>
    <t xml:space="preserve">Length (m)</t>
  </si>
  <si>
    <t xml:space="preserve">cos φ</t>
  </si>
  <si>
    <t xml:space="preserve">Cable size (mm²)</t>
  </si>
  <si>
    <t xml:space="preserve">Ampacity per run (A)</t>
  </si>
  <si>
    <t xml:space="preserve">Derating</t>
  </si>
  <si>
    <t xml:space="preserve">Parallel runs</t>
  </si>
  <si>
    <t xml:space="preserve">Installed capacity (A)</t>
  </si>
  <si>
    <t xml:space="preserve">Ampacity check</t>
  </si>
  <si>
    <t xml:space="preserve">R (Ω/km)</t>
  </si>
  <si>
    <t xml:space="preserve">X (Ω/km)</t>
  </si>
  <si>
    <t xml:space="preserve">Voltage drop (V)</t>
  </si>
  <si>
    <t xml:space="preserve">Voltage drop (%)</t>
  </si>
  <si>
    <t xml:space="preserve">Limit (%)</t>
  </si>
  <si>
    <t xml:space="preserve">VD check</t>
  </si>
  <si>
    <t xml:space="preserve">Fault at source (kA)</t>
  </si>
  <si>
    <t xml:space="preserve">Clearing time (s)</t>
  </si>
  <si>
    <t xml:space="preserve">Min size per run, adiabatic (mm²)</t>
  </si>
  <si>
    <t xml:space="preserve">Withstand check</t>
  </si>
  <si>
    <t xml:space="preserve">RPP to rack branch (1-phase)</t>
  </si>
  <si>
    <t xml:space="preserve">MCB let-through</t>
  </si>
  <si>
    <t xml:space="preserve">Total voltage drop, UPS output to rack (feeder 2 + feeder 4)</t>
  </si>
  <si>
    <t xml:space="preserve">Notes:</t>
  </si>
  <si>
    <t xml:space="preserve">1. Derating = temperature factor x grouping factor (Inputs). Ampacity table is indicative; verify with vendor data.</t>
  </si>
  <si>
    <t xml:space="preserve">2. Voltage drop: 3-phase = √3·I·L·(R·cosφ + X·sinφ); 1-phase = 2·I·L·(R·cosφ + X·sinφ). Per-run current used.</t>
  </si>
  <si>
    <t xml:space="preserve">3. Adiabatic check: S &gt;= I·√t / k with k = 143 (Cu, XLPE 90°C to 250°C, IEC 60364-4-43), assuming equal current sharing between parallel runs.</t>
  </si>
  <si>
    <t xml:space="preserve">4. Busduct (not cable) is proposed for transformer-to-LV board and generator-to-ATS links, rated per Sizing sheet.</t>
  </si>
  <si>
    <t xml:space="preserve">Rack MCB let-through energy I²t (A²s)</t>
  </si>
  <si>
    <t xml:space="preserve">ASSUMPTION: typical class-3 32 A MCB (EN 60898). Verify with the breaker datasheet.</t>
  </si>
  <si>
    <t xml:space="preserve">Step 4a: Short-circuit calculation</t>
  </si>
  <si>
    <t xml:space="preserve">Balanced 3-phase fault, impedance method. Impedances summed arithmetically (conservative). Verify with ETAP/pandapower for final design.</t>
  </si>
  <si>
    <t xml:space="preserve">Source and transformer</t>
  </si>
  <si>
    <t xml:space="preserve">Base impedance at LV (V² / S)</t>
  </si>
  <si>
    <t xml:space="preserve">mΩ</t>
  </si>
  <si>
    <t xml:space="preserve">Utility source impedance on transformer base</t>
  </si>
  <si>
    <t xml:space="preserve">Total source + transformer impedance</t>
  </si>
  <si>
    <t xml:space="preserve">Total impedance at LV bus</t>
  </si>
  <si>
    <t xml:space="preserve">Fault current from utility at LV bus</t>
  </si>
  <si>
    <t xml:space="preserve">Motor full-load current</t>
  </si>
  <si>
    <t xml:space="preserve">Motor contribution</t>
  </si>
  <si>
    <t xml:space="preserve">Fault levels and equipment rating</t>
  </si>
  <si>
    <t xml:space="preserve">Fault point</t>
  </si>
  <si>
    <t xml:space="preserve">Impedance to point (mΩ)</t>
  </si>
  <si>
    <t xml:space="preserve">Fault current (kA)</t>
  </si>
  <si>
    <t xml:space="preserve">Note</t>
  </si>
  <si>
    <t xml:space="preserve">Selected breaking rating (kA)</t>
  </si>
  <si>
    <t xml:space="preserve">F1  MV bus (11 kV)</t>
  </si>
  <si>
    <t xml:space="preserve">MV switchgear rating</t>
  </si>
  <si>
    <t xml:space="preserve">F2  LV essential bus (incl. motors)</t>
  </si>
  <si>
    <t xml:space="preserve">LV ACB / switchboard rating</t>
  </si>
  <si>
    <t xml:space="preserve">F3  UPS output board (on static bypass)</t>
  </si>
  <si>
    <t xml:space="preserve">UPS output board must withstand bypass fault</t>
  </si>
  <si>
    <t xml:space="preserve">F4  PDU incomer</t>
  </si>
  <si>
    <t xml:space="preserve">PDU incomer breaker</t>
  </si>
  <si>
    <t xml:space="preserve">F5  Rack branch (phase-neutral)</t>
  </si>
  <si>
    <t xml:space="preserve">Rack MCB (line-neutral loop, 2 x branch cable)</t>
  </si>
  <si>
    <t xml:space="preserve">F6  Generator terminals</t>
  </si>
  <si>
    <t xml:space="preserve">Generator contribution only; gensets are not paralleled with the utility</t>
  </si>
  <si>
    <t xml:space="preserve">Step 4b: Protection devices and coordination</t>
  </si>
  <si>
    <t xml:space="preserve">Settings are proposed starting values for the coordination study. Blue = editable setting.</t>
  </si>
  <si>
    <t xml:space="preserve">Device / location</t>
  </si>
  <si>
    <t xml:space="preserve">Load current (A)</t>
  </si>
  <si>
    <t xml:space="preserve">Frame (A)</t>
  </si>
  <si>
    <t xml:space="preserve">Ir setting (A)</t>
  </si>
  <si>
    <t xml:space="preserve">Isd multiple (x Ir)</t>
  </si>
  <si>
    <t xml:space="preserve">Isd pickup (A)</t>
  </si>
  <si>
    <t xml:space="preserve">tsd delay (s)</t>
  </si>
  <si>
    <t xml:space="preserve">Fault at device (kA)</t>
  </si>
  <si>
    <t xml:space="preserve">Breaking rating (kA)</t>
  </si>
  <si>
    <t xml:space="preserve">Frame &gt;= Ir &gt;= Ib</t>
  </si>
  <si>
    <t xml:space="preserve">Isd &lt; fault current (sensitivity)</t>
  </si>
  <si>
    <t xml:space="preserve">Rating &gt;= fault</t>
  </si>
  <si>
    <t xml:space="preserve">LV main ACB (TR secondary)</t>
  </si>
  <si>
    <t xml:space="preserve">UPS input ACB</t>
  </si>
  <si>
    <t xml:space="preserve">UPS output ACB</t>
  </si>
  <si>
    <t xml:space="preserve">PDU main MCCB</t>
  </si>
  <si>
    <t xml:space="preserve">Mechanical MCC feeder ACB</t>
  </si>
  <si>
    <t xml:space="preserve">Rack branch MCB (C-curve)</t>
  </si>
  <si>
    <t xml:space="preserve">MV transformer protection (11 kV relay, IEC Normal Inverse)</t>
  </si>
  <si>
    <t xml:space="preserve">Remark</t>
  </si>
  <si>
    <t xml:space="preserve">Transformer MV full-load current</t>
  </si>
  <si>
    <t xml:space="preserve">Relay time multiplier (TMS)</t>
  </si>
  <si>
    <t xml:space="preserve">Chosen to grade above LV main ACB</t>
  </si>
  <si>
    <t xml:space="preserve">51 pickup = 1.25 x FLC (rounded up to 10 A)</t>
  </si>
  <si>
    <t xml:space="preserve">Primary side</t>
  </si>
  <si>
    <t xml:space="preserve">Max LV bus fault reflected to 11 kV</t>
  </si>
  <si>
    <t xml:space="preserve">Fault multiple of pickup</t>
  </si>
  <si>
    <t xml:space="preserve">Relay operating time at that fault</t>
  </si>
  <si>
    <t xml:space="preserve">s</t>
  </si>
  <si>
    <t xml:space="preserve">IEC NI: t = TMS x 0.14 / ((I/Is)^0.02 - 1)</t>
  </si>
  <si>
    <t xml:space="preserve">Grading margin over LV main ACB tsd</t>
  </si>
  <si>
    <t xml:space="preserve">Need &gt;= 0.3 s</t>
  </si>
  <si>
    <t xml:space="preserve">Grading check</t>
  </si>
  <si>
    <t xml:space="preserve">50 pickup = 1.15 x reflected LV fault (rounded up to 100 A)</t>
  </si>
  <si>
    <t xml:space="preserve">Must not trip for LV-side faults</t>
  </si>
  <si>
    <t xml:space="preserve">Transformer inrush (10 x FLC)</t>
  </si>
  <si>
    <t xml:space="preserve">50 pickup above inrush and below MV bus fault</t>
  </si>
  <si>
    <t xml:space="preserve">Selectivity chain (fault on downstream side, trip delays)</t>
  </si>
  <si>
    <t xml:space="preserve">Upstream device</t>
  </si>
  <si>
    <t xml:space="preserve">Delay (s)</t>
  </si>
  <si>
    <t xml:space="preserve">Downstream device</t>
  </si>
  <si>
    <t xml:space="preserve">Margin (s)</t>
  </si>
  <si>
    <t xml:space="preserve">Check (&gt;= 0.1 s)</t>
  </si>
  <si>
    <t xml:space="preserve">LV main ACB</t>
  </si>
  <si>
    <t xml:space="preserve">Mechanical MCC feeder</t>
  </si>
  <si>
    <t xml:space="preserve">11 kV relay (51)</t>
  </si>
  <si>
    <t xml:space="preserve">Other protection and safety provisions:</t>
  </si>
  <si>
    <t xml:space="preserve">Transformer: Buchholz relay, winding and oil temperature (WTI/OTI), pressure relief valve; restricted earth fault (REF) on LV neutral.</t>
  </si>
  <si>
    <t xml:space="preserve">Generator: 27/59 voltage, 81 frequency, 50/51 overcurrent, 32 reverse power, 87G differential, 64 earth fault, emergency stop.</t>
  </si>
  <si>
    <t xml:space="preserve">Earthing: TN-S at LV, solidly earthed transformer neutral, earth pit resistance target &lt; 1 Ω (IS 3043), separate IT/clean earth bonded at one point.</t>
  </si>
  <si>
    <t xml:space="preserve">Surge protection: Type 1 at LV main board, Type 2 at UPS input and PDU, Type 3 at critical rack strips (IEC 61643).</t>
  </si>
  <si>
    <t xml:space="preserve">Arc flash: not computed here. Recommended as an extension (IEEE 1584) once the final breaker data is available.</t>
  </si>
  <si>
    <t xml:space="preserve">Step 5: Reliability and availability analysis</t>
  </si>
  <si>
    <t xml:space="preserve">Series reliability block model per path; 2N combines two independent paths with a common-cause factor. Component data are ILLUSTRATIVE ASSUMPTIONS: replace with IEEE 493 / vendor data.</t>
  </si>
  <si>
    <t xml:space="preserve">Utility supply availability (per feeder)</t>
  </si>
  <si>
    <t xml:space="preserve">ASSUMPTION. Replace with DISCOM reliability data (SAIDI/SAIFI) for the feeder</t>
  </si>
  <si>
    <t xml:space="preserve">Generator start-on-demand availability</t>
  </si>
  <si>
    <t xml:space="preserve">ASSUMPTION. Depends on maintenance and testing regime</t>
  </si>
  <si>
    <t xml:space="preserve">Common-cause factor between paths (beta)</t>
  </si>
  <si>
    <t xml:space="preserve">ASSUMPTION. Fraction of path failures that hit both paths (shared room, fire, human error)</t>
  </si>
  <si>
    <t xml:space="preserve">Power source availability (utility with generator backup)</t>
  </si>
  <si>
    <t xml:space="preserve">Formula: 1 - (1 - A_utility) x (1 - A_generator)</t>
  </si>
  <si>
    <t xml:space="preserve">Component (series, per path)</t>
  </si>
  <si>
    <t xml:space="preserve">MTBF (h)</t>
  </si>
  <si>
    <t xml:space="preserve">MTTR (h)</t>
  </si>
  <si>
    <t xml:space="preserve">Unavailability</t>
  </si>
  <si>
    <t xml:space="preserve">Availability</t>
  </si>
  <si>
    <t xml:space="preserve">MV switchgear</t>
  </si>
  <si>
    <t xml:space="preserve">LV essential switchboard</t>
  </si>
  <si>
    <t xml:space="preserve">ATS</t>
  </si>
  <si>
    <t xml:space="preserve">UPS module incl. static switch</t>
  </si>
  <si>
    <t xml:space="preserve">Battery system</t>
  </si>
  <si>
    <t xml:space="preserve">UPS output board</t>
  </si>
  <si>
    <t xml:space="preserve">PDU</t>
  </si>
  <si>
    <t xml:space="preserve">RPP</t>
  </si>
  <si>
    <t xml:space="preserve">Configuration</t>
  </si>
  <si>
    <t xml:space="preserve">Downtime (h/year)</t>
  </si>
  <si>
    <t xml:space="preserve">Downtime (min/year)</t>
  </si>
  <si>
    <t xml:space="preserve">Availability class (Uptime Institute figures)</t>
  </si>
  <si>
    <t xml:space="preserve">N: single path, no redundancy</t>
  </si>
  <si>
    <t xml:space="preserve">N+1: parallel redundant UPS, rest single path</t>
  </si>
  <si>
    <t xml:space="preserve">2N: two independent paths (this design)</t>
  </si>
  <si>
    <t xml:space="preserve">1. Availability class is a calculated comparison only. Formal Tier certification depends on topology and operations, not on this figure.</t>
  </si>
  <si>
    <t xml:space="preserve">2. The transformer dominates single-path unavailability because of its long repair time; this is why 2N (or a spare transformer) matters.</t>
  </si>
  <si>
    <t xml:space="preserve">3. 2N unavailability = U_path² + β·U_path. Without the β term, 2N would appear unrealistically perfect.</t>
  </si>
  <si>
    <t xml:space="preserve">4. Rack-level dual-corded PSU failure and operator error are not modelled.</t>
  </si>
  <si>
    <t xml:space="preserve">Step 5b: Failure scenario table (FMEA style)</t>
  </si>
  <si>
    <t xml:space="preserve">What happens when a component fails. The last column is calculated live from the sizing sheets.</t>
  </si>
  <si>
    <t xml:space="preserve">ID</t>
  </si>
  <si>
    <t xml:space="preserve">Failure event</t>
  </si>
  <si>
    <t xml:space="preserve">System response</t>
  </si>
  <si>
    <t xml:space="preserve">Effect on IT load</t>
  </si>
  <si>
    <t xml:space="preserve">Remaining risk / mitigation</t>
  </si>
  <si>
    <t xml:space="preserve">Live check</t>
  </si>
  <si>
    <t xml:space="preserve">F1</t>
  </si>
  <si>
    <t xml:space="preserve">Utility outage on both feeders</t>
  </si>
  <si>
    <t xml:space="preserve">ATS senses loss, both gensets start and transfer in about 10-15 s; UPS batteries carry the load meanwhile.</t>
  </si>
  <si>
    <t xml:space="preserve">None</t>
  </si>
  <si>
    <t xml:space="preserve">Generators become the single source of energy. Fuel autonomy and monthly on-load tests are critical.</t>
  </si>
  <si>
    <t xml:space="preserve">F2</t>
  </si>
  <si>
    <t xml:space="preserve">Utility feeder A lost (B healthy)</t>
  </si>
  <si>
    <t xml:space="preserve">Path A ATS starts Gen A; UPS A rides through on battery.</t>
  </si>
  <si>
    <t xml:space="preserve">Path B untouched. If Gen A fails to start, see F5.</t>
  </si>
  <si>
    <t xml:space="preserve">F3</t>
  </si>
  <si>
    <t xml:space="preserve">Transformer A internal fault</t>
  </si>
  <si>
    <t xml:space="preserve">MV relay / Buchholz trips VCB. Path A LV board loses utility; ATS may start Gen A.</t>
  </si>
  <si>
    <t xml:space="preserve">None (dual-corded loads stay on B)</t>
  </si>
  <si>
    <t xml:space="preserve">Longest repair time in the system. Path B now runs at 100% of facility load; no redundancy until repair.</t>
  </si>
  <si>
    <t xml:space="preserve">F4</t>
  </si>
  <si>
    <t xml:space="preserve">UPS A module failure</t>
  </si>
  <si>
    <t xml:space="preserve">UPS transfers to static bypass if available, otherwise path A output is lost. Dual-corded racks continue from B.</t>
  </si>
  <si>
    <t xml:space="preserve">UPS B now carries all IT load.</t>
  </si>
  <si>
    <t xml:space="preserve">F5</t>
  </si>
  <si>
    <t xml:space="preserve">Generator A fails to start during utility outage</t>
  </si>
  <si>
    <t xml:space="preserve">UPS A runs on battery until autonomy ends, then path A de-energises.</t>
  </si>
  <si>
    <t xml:space="preserve">None while path B is healthy</t>
  </si>
  <si>
    <t xml:space="preserve">If Gen B also fails, IT stops after battery autonomy. Mitigation: N+1 gensets, monthly testing, fuel quality management.</t>
  </si>
  <si>
    <t xml:space="preserve">F6</t>
  </si>
  <si>
    <t xml:space="preserve">PDU A failure</t>
  </si>
  <si>
    <t xml:space="preserve">Downstream racks lose A feed; B feed takes the full rack load.</t>
  </si>
  <si>
    <t xml:space="preserve">Rack feeds on B carry 100% of rack load.</t>
  </si>
  <si>
    <t xml:space="preserve">F7</t>
  </si>
  <si>
    <t xml:space="preserve">Planned maintenance of entire path A (concurrent maintainability)</t>
  </si>
  <si>
    <t xml:space="preserve">Path A isolated at LV main and UPS output; B carries everything.</t>
  </si>
  <si>
    <t xml:space="preserve">Facility is single-path during the work. Schedule in low-risk windows.</t>
  </si>
  <si>
    <t xml:space="preserve">F8</t>
  </si>
  <si>
    <t xml:space="preserve">Short circuit at a PDU</t>
  </si>
  <si>
    <t xml:space="preserve">PDU main MCCB clears in its instantaneous / short-time zone; upstream devices stay closed by time grading.</t>
  </si>
  <si>
    <t xml:space="preserve">Needs the coordination study to confirm selectivity.</t>
  </si>
  <si>
    <t xml:space="preserve">F9</t>
  </si>
  <si>
    <t xml:space="preserve">Common-cause event (fire / flood in a shared electrical room)</t>
  </si>
  <si>
    <t xml:space="preserve">Both paths lost if A and B equipment share a room or cable route.</t>
  </si>
  <si>
    <t xml:space="preserve">Total outage</t>
  </si>
  <si>
    <t xml:space="preserve">Physical separation: separate fire-rated rooms and cable routes for A and B. This is the main 2N weakness.</t>
  </si>
  <si>
    <t xml:space="preserve">F10</t>
  </si>
  <si>
    <t xml:space="preserve">Single-corded load while STS fails</t>
  </si>
  <si>
    <t xml:space="preserve">Single-corded equipment fed through STS loses supply if the STS itself fails or if both sources fail.</t>
  </si>
  <si>
    <t xml:space="preserve">Only single-corded loads</t>
  </si>
  <si>
    <t xml:space="preserve">Minimise single-corded equipment; use dual-corded or rack-level ATS.</t>
  </si>
  <si>
    <t xml:space="preserve">Step 7: Equipment list / bill of quantities (no prices)</t>
  </si>
  <si>
    <t xml:space="preserve">Quantity = per-path quantity x multiplier. Multiplier 2 for A/B items, 1 for shared items.</t>
  </si>
  <si>
    <t xml:space="preserve">#</t>
  </si>
  <si>
    <t xml:space="preserve">Rating / description</t>
  </si>
  <si>
    <t xml:space="preserve">Qty per path</t>
  </si>
  <si>
    <t xml:space="preserve">Multiplier</t>
  </si>
  <si>
    <t xml:space="preserve">Total qty</t>
  </si>
  <si>
    <t xml:space="preserve">Remarks</t>
  </si>
  <si>
    <t xml:space="preserve">MV switchgear panel</t>
  </si>
  <si>
    <t xml:space="preserve">Incomer + transformer feeder per path</t>
  </si>
  <si>
    <t xml:space="preserve">Distribution transformer</t>
  </si>
  <si>
    <t xml:space="preserve">Cast resin or oil, per local practice</t>
  </si>
  <si>
    <t xml:space="preserve">Busduct, transformer to LV board</t>
  </si>
  <si>
    <t xml:space="preserve">Automatic transfer switch (ATS)</t>
  </si>
  <si>
    <t xml:space="preserve">Diesel generator set</t>
  </si>
  <si>
    <t xml:space="preserve">Set Inputs extra gensets = 1 for N+1 per path</t>
  </si>
  <si>
    <t xml:space="preserve">Fuel storage tank</t>
  </si>
  <si>
    <t xml:space="preserve">Local fire and explosives rules apply</t>
  </si>
  <si>
    <t xml:space="preserve">Battery string</t>
  </si>
  <si>
    <t xml:space="preserve">Strings per UPS; validate with vendor tables</t>
  </si>
  <si>
    <t xml:space="preserve">RPP (remote power panel)</t>
  </si>
  <si>
    <t xml:space="preserve">Cable sets, LV board to UPS input</t>
  </si>
  <si>
    <t xml:space="preserve">Qty = parallel runs</t>
  </si>
  <si>
    <t xml:space="preserve">Cable sets, UPS output board to PDU</t>
  </si>
  <si>
    <t xml:space="preserve">Qty = runs x PDUs</t>
  </si>
  <si>
    <t xml:space="preserve">Cable sets, LV board to mechanical MCC</t>
  </si>
  <si>
    <t xml:space="preserve">Rack branch cables</t>
  </si>
  <si>
    <t xml:space="preserve">A feed and B feed for every rack</t>
  </si>
  <si>
    <t xml:space="preserve">Rack PDU strips</t>
  </si>
  <si>
    <t xml:space="preserve">IT racks</t>
  </si>
  <si>
    <t xml:space="preserve">Shared between paths</t>
  </si>
  <si>
    <t xml:space="preserve">Static transfer switch (STS)</t>
  </si>
  <si>
    <t xml:space="preserve">PLACEHOLDER quantity. Depends on single-corded device count</t>
  </si>
  <si>
    <t xml:space="preserve">Surge protective devices</t>
  </si>
  <si>
    <t xml:space="preserve">Sets</t>
  </si>
  <si>
    <t xml:space="preserve">Standard ratings and cable data</t>
  </si>
  <si>
    <t xml:space="preserve">Transformer (kVA)</t>
  </si>
  <si>
    <t xml:space="preserve">UPS (kVA)</t>
  </si>
  <si>
    <t xml:space="preserve">Genset (kVA)</t>
  </si>
  <si>
    <t xml:space="preserve">PDU (kVA)</t>
  </si>
  <si>
    <t xml:space="preserve">LV breaking (kA)</t>
  </si>
  <si>
    <t xml:space="preserve">MV breaking (kA)</t>
  </si>
  <si>
    <t xml:space="preserve">Breaker / busduct frame (A)</t>
  </si>
  <si>
    <t xml:space="preserve">Branch MCB breaking (kA)</t>
  </si>
  <si>
    <t xml:space="preserve">Cu XLPE size (mm²)</t>
  </si>
  <si>
    <t xml:space="preserve">Ampacity in air @30°C (A)</t>
  </si>
  <si>
    <t xml:space="preserve">R at 90°C (Ω/km)</t>
  </si>
  <si>
    <t xml:space="preserve">Note: cable values are indicative (1.1 kV Cu XLPE, single-core trefoil in air). Verify with the manufacturer's datasheet and installation method before procurement.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</si>
</sst>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0"/>
    <numFmt numFmtId="167" formatCode="0.0"/>
    <numFmt numFmtId="168" formatCode="0"/>
    <numFmt numFmtId="169" formatCode="0.00%"/>
    <numFmt numFmtId="170" formatCode="0.000%"/>
    <numFmt numFmtId="171" formatCode="0.0000%"/>
    <numFmt numFmtId="172" formatCode="0%"/>
    <numFmt numFmtId="173" formatCode="0.0000"/>
    <numFmt numFmtId="174" formatCode="0.0%"/>
    <numFmt numFmtId="175" formatCode="#,##0.0"/>
    <numFmt numFmtId="176" formatCode="0.000"/>
    <numFmt numFmtId="177" formatCode="0.000000"/>
    <numFmt numFmtId="178" formatCode="0.000000%"/>
    <numFmt numFmtId="179" formatCode="0.00000%"/>
    <numFmt numFmtId="180" formatCode="0.0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Inputs!$B$8</f>
        <v>1000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5" t="n">
        <f aca="false">Inputs!$B$12</f>
        <v>1500</v>
      </c>
      <c r="C6" s="4" t="s">
        <v>7</v>
      </c>
      <c r="D6" s="4" t="s">
        <v>8</v>
      </c>
    </row>
    <row r="7" customFormat="false" ht="15" hidden="false" customHeight="false" outlineLevel="0" collapsed="false">
      <c r="A7" s="4" t="s">
        <v>10</v>
      </c>
      <c r="B7" s="6" t="n">
        <f aca="false">Inputs!$B$13</f>
        <v>1.5</v>
      </c>
      <c r="C7" s="4" t="s">
        <v>11</v>
      </c>
      <c r="D7" s="4" t="s">
        <v>8</v>
      </c>
    </row>
    <row r="8" customFormat="false" ht="15" hidden="false" customHeight="false" outlineLevel="0" collapsed="false">
      <c r="A8" s="4" t="s">
        <v>12</v>
      </c>
      <c r="B8" s="5" t="n">
        <f aca="false">Load_Calc!$B$19</f>
        <v>2000</v>
      </c>
      <c r="C8" s="4" t="s">
        <v>13</v>
      </c>
      <c r="D8" s="4" t="s">
        <v>14</v>
      </c>
    </row>
    <row r="9" customFormat="false" ht="15" hidden="false" customHeight="false" outlineLevel="0" collapsed="false">
      <c r="A9" s="4" t="s">
        <v>15</v>
      </c>
      <c r="B9" s="5" t="n">
        <f aca="false">Sizing!$B$7</f>
        <v>2500</v>
      </c>
      <c r="C9" s="4" t="s">
        <v>13</v>
      </c>
      <c r="D9" s="4" t="s">
        <v>16</v>
      </c>
    </row>
    <row r="10" customFormat="false" ht="15" hidden="false" customHeight="false" outlineLevel="0" collapsed="false">
      <c r="A10" s="4" t="s">
        <v>17</v>
      </c>
      <c r="B10" s="7" t="str">
        <f aca="false">TEXT(Sizing!$B$10,"0%")&amp;" / "&amp;TEXT(Sizing!$B$11,"0%")</f>
        <v>33% / 67%</v>
      </c>
      <c r="C10" s="4"/>
      <c r="D10" s="4" t="s">
        <v>16</v>
      </c>
    </row>
    <row r="11" customFormat="false" ht="15" hidden="false" customHeight="false" outlineLevel="0" collapsed="false">
      <c r="A11" s="4" t="s">
        <v>18</v>
      </c>
      <c r="B11" s="5" t="n">
        <f aca="false">Sizing!$B$16</f>
        <v>1200</v>
      </c>
      <c r="C11" s="4" t="s">
        <v>13</v>
      </c>
      <c r="D11" s="4" t="s">
        <v>16</v>
      </c>
    </row>
    <row r="12" customFormat="false" ht="15" hidden="false" customHeight="false" outlineLevel="0" collapsed="false">
      <c r="A12" s="4" t="s">
        <v>19</v>
      </c>
      <c r="B12" s="7" t="str">
        <f aca="false">TEXT(Sizing!$B$17,"0%")&amp;" / "&amp;TEXT(Sizing!$B$18,"0%")</f>
        <v>42% / 83%</v>
      </c>
      <c r="C12" s="4"/>
      <c r="D12" s="4" t="s">
        <v>16</v>
      </c>
    </row>
    <row r="13" customFormat="false" ht="15" hidden="false" customHeight="false" outlineLevel="0" collapsed="false">
      <c r="A13" s="4" t="s">
        <v>20</v>
      </c>
      <c r="B13" s="7" t="str">
        <f aca="false">Sizing!$B$28&amp;" strings x "&amp;Inputs!$B$36&amp;" Ah, "&amp;Sizing!$B$26&amp;" V, "&amp;Inputs!$B$30&amp;" min"</f>
        <v>4 strings x 300 Ah, 480 V, 10 min</v>
      </c>
      <c r="C13" s="4"/>
      <c r="D13" s="4" t="s">
        <v>16</v>
      </c>
    </row>
    <row r="14" customFormat="false" ht="15" hidden="false" customHeight="false" outlineLevel="0" collapsed="false">
      <c r="A14" s="4" t="s">
        <v>21</v>
      </c>
      <c r="B14" s="5" t="n">
        <f aca="false">Sizing!$B$36</f>
        <v>2500</v>
      </c>
      <c r="C14" s="4" t="s">
        <v>13</v>
      </c>
      <c r="D14" s="4" t="s">
        <v>16</v>
      </c>
    </row>
    <row r="15" customFormat="false" ht="15" hidden="false" customHeight="false" outlineLevel="0" collapsed="false">
      <c r="A15" s="4" t="s">
        <v>22</v>
      </c>
      <c r="B15" s="5" t="n">
        <f aca="false">Sizing!$B$43</f>
        <v>9720</v>
      </c>
      <c r="C15" s="4" t="s">
        <v>23</v>
      </c>
      <c r="D15" s="4" t="s">
        <v>16</v>
      </c>
    </row>
    <row r="16" customFormat="false" ht="15" hidden="false" customHeight="false" outlineLevel="0" collapsed="false">
      <c r="A16" s="4" t="s">
        <v>24</v>
      </c>
      <c r="B16" s="7" t="str">
        <f aca="false">Inputs!$B$45&amp;" x "&amp;Sizing!$B$46&amp;" kVA"</f>
        <v>4 x 400 kVA</v>
      </c>
      <c r="C16" s="4"/>
      <c r="D16" s="4" t="s">
        <v>16</v>
      </c>
    </row>
    <row r="17" customFormat="false" ht="15" hidden="false" customHeight="false" outlineLevel="0" collapsed="false">
      <c r="A17" s="4" t="s">
        <v>25</v>
      </c>
      <c r="B17" s="8" t="n">
        <f aca="false">ShortCircuit!$C$17</f>
        <v>51.2460269727198</v>
      </c>
      <c r="C17" s="4" t="s">
        <v>26</v>
      </c>
      <c r="D17" s="4" t="s">
        <v>27</v>
      </c>
    </row>
    <row r="18" customFormat="false" ht="15" hidden="false" customHeight="false" outlineLevel="0" collapsed="false">
      <c r="A18" s="4" t="s">
        <v>28</v>
      </c>
      <c r="B18" s="9" t="n">
        <f aca="false">ShortCircuit!$E$17</f>
        <v>65</v>
      </c>
      <c r="C18" s="4" t="s">
        <v>26</v>
      </c>
      <c r="D18" s="4" t="s">
        <v>27</v>
      </c>
    </row>
    <row r="19" customFormat="false" ht="15" hidden="false" customHeight="false" outlineLevel="0" collapsed="false">
      <c r="A19" s="4" t="s">
        <v>29</v>
      </c>
      <c r="B19" s="10" t="n">
        <f aca="false">Cables!$P$10</f>
        <v>0.0236923470645085</v>
      </c>
      <c r="C19" s="4"/>
      <c r="D19" s="4" t="s">
        <v>30</v>
      </c>
    </row>
    <row r="20" customFormat="false" ht="15" hidden="false" customHeight="false" outlineLevel="0" collapsed="false">
      <c r="A20" s="4" t="s">
        <v>31</v>
      </c>
      <c r="B20" s="11" t="n">
        <f aca="false">Reliability!$B$23</f>
        <v>0.999230396610347</v>
      </c>
      <c r="C20" s="4"/>
      <c r="D20" s="4" t="s">
        <v>32</v>
      </c>
    </row>
    <row r="21" customFormat="false" ht="15" hidden="false" customHeight="false" outlineLevel="0" collapsed="false">
      <c r="A21" s="4" t="s">
        <v>33</v>
      </c>
      <c r="B21" s="12" t="n">
        <f aca="false">Reliability!$B$25</f>
        <v>0.999991711676726</v>
      </c>
      <c r="C21" s="4"/>
      <c r="D21" s="4" t="s">
        <v>32</v>
      </c>
    </row>
    <row r="22" customFormat="false" ht="15" hidden="false" customHeight="false" outlineLevel="0" collapsed="false">
      <c r="A22" s="4" t="s">
        <v>34</v>
      </c>
      <c r="B22" s="8" t="n">
        <f aca="false">Reliability!$E$25</f>
        <v>4.35634271277792</v>
      </c>
      <c r="C22" s="4" t="s">
        <v>35</v>
      </c>
      <c r="D22" s="4" t="s">
        <v>32</v>
      </c>
    </row>
    <row r="23" customFormat="false" ht="15" hidden="false" customHeight="false" outlineLevel="0" collapsed="false">
      <c r="A23" s="4" t="s">
        <v>36</v>
      </c>
      <c r="B23" s="8" t="n">
        <f aca="false">Reliability!$D$23</f>
        <v>6.74172569335771</v>
      </c>
      <c r="C23" s="4" t="s">
        <v>37</v>
      </c>
      <c r="D23" s="4" t="s">
        <v>32</v>
      </c>
    </row>
    <row r="25" customFormat="false" ht="15" hidden="false" customHeight="false" outlineLevel="0" collapsed="false">
      <c r="A25" s="13" t="s">
        <v>38</v>
      </c>
    </row>
    <row r="26" customFormat="false" ht="15" hidden="false" customHeight="false" outlineLevel="0" collapsed="false">
      <c r="A26" s="3" t="s">
        <v>39</v>
      </c>
      <c r="B26" s="3" t="s">
        <v>40</v>
      </c>
      <c r="C26" s="3"/>
      <c r="D26" s="3"/>
    </row>
    <row r="27" customFormat="false" ht="15" hidden="false" customHeight="false" outlineLevel="0" collapsed="false">
      <c r="A27" s="4" t="s">
        <v>41</v>
      </c>
      <c r="B27" s="14" t="str">
        <f aca="false">IF(Sizing!$B$12&lt;=Inputs!$B$17,"OK","FAIL")</f>
        <v>OK</v>
      </c>
    </row>
    <row r="28" customFormat="false" ht="15" hidden="false" customHeight="false" outlineLevel="0" collapsed="false">
      <c r="A28" s="4" t="s">
        <v>42</v>
      </c>
      <c r="B28" s="14" t="str">
        <f aca="false">IF(Sizing!$B$18&lt;=1,"OK","FAIL")</f>
        <v>OK</v>
      </c>
    </row>
    <row r="29" customFormat="false" ht="15" hidden="false" customHeight="false" outlineLevel="0" collapsed="false">
      <c r="A29" s="4" t="s">
        <v>43</v>
      </c>
      <c r="B29" s="14" t="str">
        <f aca="false">IF(Sizing!$B$47&lt;=1,"OK","FAIL")</f>
        <v>OK</v>
      </c>
    </row>
    <row r="30" customFormat="false" ht="15" hidden="false" customHeight="false" outlineLevel="0" collapsed="false">
      <c r="A30" s="4" t="s">
        <v>44</v>
      </c>
      <c r="B30" s="14" t="str">
        <f aca="false">IF(Sizing!$B$38&lt;=1,"OK","FAIL")</f>
        <v>OK</v>
      </c>
    </row>
    <row r="31" customFormat="false" ht="15" hidden="false" customHeight="false" outlineLevel="0" collapsed="false">
      <c r="A31" s="4" t="s">
        <v>45</v>
      </c>
      <c r="B31" s="14" t="str">
        <f aca="false">IF(COUNTIF(Cables!$L$5:$L$8,"FAIL")=0,"OK","FAIL")</f>
        <v>OK</v>
      </c>
    </row>
    <row r="32" customFormat="false" ht="15" hidden="false" customHeight="false" outlineLevel="0" collapsed="false">
      <c r="A32" s="4" t="s">
        <v>46</v>
      </c>
      <c r="B32" s="14" t="str">
        <f aca="false">IF(COUNTIF(Cables!$R$5:$R$8,"FAIL")+COUNTIF(Cables!$R$10,"FAIL")=0,"OK","FAIL")</f>
        <v>OK</v>
      </c>
    </row>
    <row r="33" customFormat="false" ht="15" hidden="false" customHeight="false" outlineLevel="0" collapsed="false">
      <c r="A33" s="4" t="s">
        <v>47</v>
      </c>
      <c r="B33" s="14" t="str">
        <f aca="false">IF(COUNTIF(Cables!$V$5:$V$8,"FAIL")=0,"OK","FAIL")</f>
        <v>OK</v>
      </c>
    </row>
    <row r="34" customFormat="false" ht="15" hidden="false" customHeight="false" outlineLevel="0" collapsed="false">
      <c r="A34" s="4" t="s">
        <v>48</v>
      </c>
      <c r="B34" s="14" t="str">
        <f aca="false">IF(COUNTIF(ShortCircuit!$F$16:$F$21,"FAIL")+COUNTIF(Protection!$L$5:$L$10,"FAIL")=0,"OK","FAIL")</f>
        <v>OK</v>
      </c>
    </row>
    <row r="35" customFormat="false" ht="15" hidden="false" customHeight="false" outlineLevel="0" collapsed="false">
      <c r="A35" s="4" t="s">
        <v>49</v>
      </c>
      <c r="B35" s="14" t="str">
        <f aca="false">IF(COUNTIF(Protection!$J$5:$J$10,"FAIL")=0,"OK","FAIL")</f>
        <v>OK</v>
      </c>
    </row>
    <row r="36" customFormat="false" ht="15" hidden="false" customHeight="false" outlineLevel="0" collapsed="false">
      <c r="A36" s="4" t="s">
        <v>50</v>
      </c>
      <c r="B36" s="14" t="str">
        <f aca="false">IF(Protection!$B$21="OK","OK","FAIL")</f>
        <v>OK</v>
      </c>
    </row>
    <row r="37" customFormat="false" ht="15" hidden="false" customHeight="false" outlineLevel="0" collapsed="false">
      <c r="A37" s="4" t="s">
        <v>51</v>
      </c>
      <c r="B37" s="14" t="str">
        <f aca="false">IF(Sizing!$B$52="OK","OK","FAIL")</f>
        <v>OK</v>
      </c>
    </row>
    <row r="38" customFormat="false" ht="15" hidden="false" customHeight="false" outlineLevel="0" collapsed="false">
      <c r="A38" s="13" t="s">
        <v>52</v>
      </c>
      <c r="B38" s="15" t="str">
        <f aca="false">IF(COUNTIF(B27:B37,"FAIL")=0,"ALL CHECKS PASS","REVIEW FAILED CHECKS")</f>
        <v>ALL CHECKS PASS</v>
      </c>
    </row>
    <row r="40" customFormat="false" ht="15" hidden="false" customHeight="false" outlineLevel="0" collapsed="false">
      <c r="A40" s="16" t="s">
        <v>53</v>
      </c>
    </row>
    <row r="41" customFormat="false" ht="15" hidden="false" customHeight="false" outlineLevel="0" collapsed="false">
      <c r="A41" s="1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4</v>
      </c>
      <c r="D4" s="3" t="s">
        <v>59</v>
      </c>
    </row>
    <row r="5" customFormat="false" ht="15" hidden="false" customHeight="false" outlineLevel="0" collapsed="false">
      <c r="A5" s="17" t="s">
        <v>60</v>
      </c>
      <c r="B5" s="18"/>
      <c r="C5" s="18"/>
      <c r="D5" s="18"/>
    </row>
    <row r="6" customFormat="false" ht="15" hidden="false" customHeight="false" outlineLevel="0" collapsed="false">
      <c r="A6" s="19" t="s">
        <v>61</v>
      </c>
      <c r="B6" s="20" t="n">
        <v>200</v>
      </c>
      <c r="C6" s="4" t="s">
        <v>62</v>
      </c>
      <c r="D6" s="19" t="s">
        <v>63</v>
      </c>
    </row>
    <row r="7" customFormat="false" ht="15" hidden="false" customHeight="false" outlineLevel="0" collapsed="false">
      <c r="A7" s="19" t="s">
        <v>64</v>
      </c>
      <c r="B7" s="20" t="n">
        <v>5</v>
      </c>
      <c r="C7" s="4" t="s">
        <v>7</v>
      </c>
      <c r="D7" s="19" t="s">
        <v>65</v>
      </c>
    </row>
    <row r="8" customFormat="false" ht="15" hidden="false" customHeight="false" outlineLevel="0" collapsed="false">
      <c r="A8" s="19" t="s">
        <v>66</v>
      </c>
      <c r="B8" s="21" t="n">
        <f aca="false">Inputs!$B$6*Inputs!$B$7</f>
        <v>1000</v>
      </c>
      <c r="C8" s="4" t="s">
        <v>7</v>
      </c>
      <c r="D8" s="19" t="s">
        <v>67</v>
      </c>
    </row>
    <row r="9" customFormat="false" ht="15" hidden="false" customHeight="false" outlineLevel="0" collapsed="false">
      <c r="A9" s="19" t="s">
        <v>68</v>
      </c>
      <c r="B9" s="20" t="n">
        <v>400</v>
      </c>
      <c r="C9" s="4" t="s">
        <v>7</v>
      </c>
      <c r="D9" s="19" t="s">
        <v>69</v>
      </c>
    </row>
    <row r="10" customFormat="false" ht="15" hidden="false" customHeight="false" outlineLevel="0" collapsed="false">
      <c r="A10" s="19" t="s">
        <v>70</v>
      </c>
      <c r="B10" s="20" t="n">
        <v>60</v>
      </c>
      <c r="C10" s="4" t="s">
        <v>7</v>
      </c>
      <c r="D10" s="19" t="s">
        <v>71</v>
      </c>
    </row>
    <row r="11" customFormat="false" ht="15" hidden="false" customHeight="false" outlineLevel="0" collapsed="false">
      <c r="A11" s="19" t="s">
        <v>72</v>
      </c>
      <c r="B11" s="20" t="n">
        <v>40</v>
      </c>
      <c r="C11" s="4" t="s">
        <v>7</v>
      </c>
      <c r="D11" s="19" t="s">
        <v>73</v>
      </c>
    </row>
    <row r="12" customFormat="false" ht="15" hidden="false" customHeight="false" outlineLevel="0" collapsed="false">
      <c r="A12" s="19" t="s">
        <v>9</v>
      </c>
      <c r="B12" s="21" t="n">
        <f aca="false">Inputs!$B$8+Inputs!$B$9+Inputs!$B$10+Inputs!$B$11</f>
        <v>1500</v>
      </c>
      <c r="C12" s="4" t="s">
        <v>7</v>
      </c>
      <c r="D12" s="19" t="s">
        <v>67</v>
      </c>
    </row>
    <row r="13" customFormat="false" ht="15" hidden="false" customHeight="false" outlineLevel="0" collapsed="false">
      <c r="A13" s="19" t="s">
        <v>74</v>
      </c>
      <c r="B13" s="22" t="n">
        <f aca="false">Inputs!$B$12/Inputs!$B$8</f>
        <v>1.5</v>
      </c>
      <c r="C13" s="4" t="s">
        <v>11</v>
      </c>
      <c r="D13" s="19" t="s">
        <v>75</v>
      </c>
    </row>
    <row r="14" customFormat="false" ht="15" hidden="false" customHeight="false" outlineLevel="0" collapsed="false">
      <c r="A14" s="17" t="s">
        <v>76</v>
      </c>
      <c r="B14" s="18"/>
      <c r="C14" s="18"/>
      <c r="D14" s="18"/>
    </row>
    <row r="15" customFormat="false" ht="15" hidden="false" customHeight="false" outlineLevel="0" collapsed="false">
      <c r="A15" s="19" t="s">
        <v>77</v>
      </c>
      <c r="B15" s="23" t="n">
        <v>0.9</v>
      </c>
      <c r="C15" s="4" t="s">
        <v>11</v>
      </c>
      <c r="D15" s="19" t="s">
        <v>78</v>
      </c>
    </row>
    <row r="16" customFormat="false" ht="15" hidden="false" customHeight="false" outlineLevel="0" collapsed="false">
      <c r="A16" s="19" t="s">
        <v>79</v>
      </c>
      <c r="B16" s="24" t="n">
        <v>0.2</v>
      </c>
      <c r="C16" s="4" t="s">
        <v>11</v>
      </c>
      <c r="D16" s="19" t="s">
        <v>80</v>
      </c>
    </row>
    <row r="17" customFormat="false" ht="15" hidden="false" customHeight="false" outlineLevel="0" collapsed="false">
      <c r="A17" s="19" t="s">
        <v>81</v>
      </c>
      <c r="B17" s="24" t="n">
        <v>0.85</v>
      </c>
      <c r="C17" s="4" t="s">
        <v>11</v>
      </c>
      <c r="D17" s="19" t="s">
        <v>82</v>
      </c>
    </row>
    <row r="18" customFormat="false" ht="15" hidden="false" customHeight="false" outlineLevel="0" collapsed="false">
      <c r="A18" s="19" t="s">
        <v>83</v>
      </c>
      <c r="B18" s="20" t="n">
        <v>11</v>
      </c>
      <c r="C18" s="4" t="s">
        <v>84</v>
      </c>
      <c r="D18" s="19" t="s">
        <v>85</v>
      </c>
    </row>
    <row r="19" customFormat="false" ht="15" hidden="false" customHeight="false" outlineLevel="0" collapsed="false">
      <c r="A19" s="19" t="s">
        <v>86</v>
      </c>
      <c r="B19" s="20" t="n">
        <v>415</v>
      </c>
      <c r="C19" s="4" t="s">
        <v>87</v>
      </c>
      <c r="D19" s="19" t="s">
        <v>88</v>
      </c>
    </row>
    <row r="20" customFormat="false" ht="15" hidden="false" customHeight="false" outlineLevel="0" collapsed="false">
      <c r="A20" s="19" t="s">
        <v>89</v>
      </c>
      <c r="B20" s="20" t="n">
        <v>250</v>
      </c>
      <c r="C20" s="4" t="s">
        <v>90</v>
      </c>
      <c r="D20" s="19" t="s">
        <v>91</v>
      </c>
    </row>
    <row r="21" customFormat="false" ht="15" hidden="false" customHeight="false" outlineLevel="0" collapsed="false">
      <c r="A21" s="19" t="s">
        <v>92</v>
      </c>
      <c r="B21" s="25" t="n">
        <v>0.0625</v>
      </c>
      <c r="C21" s="4" t="s">
        <v>93</v>
      </c>
      <c r="D21" s="19" t="s">
        <v>94</v>
      </c>
    </row>
    <row r="22" customFormat="false" ht="15" hidden="false" customHeight="false" outlineLevel="0" collapsed="false">
      <c r="A22" s="19" t="s">
        <v>95</v>
      </c>
      <c r="B22" s="20" t="n">
        <v>45</v>
      </c>
      <c r="C22" s="4" t="s">
        <v>96</v>
      </c>
      <c r="D22" s="19" t="s">
        <v>97</v>
      </c>
    </row>
    <row r="23" customFormat="false" ht="15" hidden="false" customHeight="false" outlineLevel="0" collapsed="false">
      <c r="A23" s="19" t="s">
        <v>98</v>
      </c>
      <c r="B23" s="23" t="n">
        <v>0.87</v>
      </c>
      <c r="C23" s="4" t="s">
        <v>11</v>
      </c>
      <c r="D23" s="19" t="s">
        <v>99</v>
      </c>
    </row>
    <row r="24" customFormat="false" ht="15" hidden="false" customHeight="false" outlineLevel="0" collapsed="false">
      <c r="A24" s="19" t="s">
        <v>100</v>
      </c>
      <c r="B24" s="23" t="n">
        <v>0.8</v>
      </c>
      <c r="C24" s="4" t="s">
        <v>11</v>
      </c>
      <c r="D24" s="19" t="s">
        <v>101</v>
      </c>
    </row>
    <row r="25" customFormat="false" ht="15" hidden="false" customHeight="false" outlineLevel="0" collapsed="false">
      <c r="A25" s="17" t="s">
        <v>102</v>
      </c>
      <c r="B25" s="18"/>
      <c r="C25" s="18"/>
      <c r="D25" s="18"/>
    </row>
    <row r="26" customFormat="false" ht="15" hidden="false" customHeight="false" outlineLevel="0" collapsed="false">
      <c r="A26" s="19" t="s">
        <v>103</v>
      </c>
      <c r="B26" s="23" t="n">
        <v>1</v>
      </c>
      <c r="C26" s="4" t="s">
        <v>11</v>
      </c>
      <c r="D26" s="19" t="s">
        <v>104</v>
      </c>
    </row>
    <row r="27" customFormat="false" ht="15" hidden="false" customHeight="false" outlineLevel="0" collapsed="false">
      <c r="A27" s="19" t="s">
        <v>105</v>
      </c>
      <c r="B27" s="23" t="n">
        <v>0.96</v>
      </c>
      <c r="C27" s="4" t="s">
        <v>11</v>
      </c>
      <c r="D27" s="19" t="s">
        <v>106</v>
      </c>
    </row>
    <row r="28" customFormat="false" ht="15" hidden="false" customHeight="false" outlineLevel="0" collapsed="false">
      <c r="A28" s="19" t="s">
        <v>107</v>
      </c>
      <c r="B28" s="23" t="n">
        <v>1.1</v>
      </c>
      <c r="C28" s="4" t="s">
        <v>11</v>
      </c>
      <c r="D28" s="19" t="s">
        <v>108</v>
      </c>
    </row>
    <row r="29" customFormat="false" ht="15" hidden="false" customHeight="false" outlineLevel="0" collapsed="false">
      <c r="A29" s="19" t="s">
        <v>109</v>
      </c>
      <c r="B29" s="23" t="n">
        <v>0.99</v>
      </c>
      <c r="C29" s="4" t="s">
        <v>11</v>
      </c>
      <c r="D29" s="19" t="s">
        <v>110</v>
      </c>
    </row>
    <row r="30" customFormat="false" ht="15" hidden="false" customHeight="false" outlineLevel="0" collapsed="false">
      <c r="A30" s="19" t="s">
        <v>111</v>
      </c>
      <c r="B30" s="20" t="n">
        <v>10</v>
      </c>
      <c r="C30" s="4" t="s">
        <v>112</v>
      </c>
      <c r="D30" s="19" t="s">
        <v>113</v>
      </c>
    </row>
    <row r="31" customFormat="false" ht="15" hidden="false" customHeight="false" outlineLevel="0" collapsed="false">
      <c r="A31" s="19" t="s">
        <v>114</v>
      </c>
      <c r="B31" s="20" t="n">
        <v>240</v>
      </c>
      <c r="C31" s="4" t="s">
        <v>62</v>
      </c>
      <c r="D31" s="19" t="s">
        <v>115</v>
      </c>
    </row>
    <row r="32" customFormat="false" ht="15" hidden="false" customHeight="false" outlineLevel="0" collapsed="false">
      <c r="A32" s="19" t="s">
        <v>116</v>
      </c>
      <c r="B32" s="23" t="n">
        <v>1.67</v>
      </c>
      <c r="C32" s="4" t="s">
        <v>87</v>
      </c>
      <c r="D32" s="19" t="s">
        <v>117</v>
      </c>
    </row>
    <row r="33" customFormat="false" ht="15" hidden="false" customHeight="false" outlineLevel="0" collapsed="false">
      <c r="A33" s="19" t="s">
        <v>118</v>
      </c>
      <c r="B33" s="23" t="n">
        <v>1.25</v>
      </c>
      <c r="C33" s="4" t="s">
        <v>11</v>
      </c>
      <c r="D33" s="19" t="s">
        <v>119</v>
      </c>
    </row>
    <row r="34" customFormat="false" ht="15" hidden="false" customHeight="false" outlineLevel="0" collapsed="false">
      <c r="A34" s="19" t="s">
        <v>120</v>
      </c>
      <c r="B34" s="23" t="n">
        <v>1.1</v>
      </c>
      <c r="C34" s="4" t="s">
        <v>11</v>
      </c>
      <c r="D34" s="19"/>
    </row>
    <row r="35" customFormat="false" ht="15" hidden="false" customHeight="false" outlineLevel="0" collapsed="false">
      <c r="A35" s="19" t="s">
        <v>121</v>
      </c>
      <c r="B35" s="23" t="n">
        <v>0.55</v>
      </c>
      <c r="C35" s="4" t="s">
        <v>11</v>
      </c>
      <c r="D35" s="19" t="s">
        <v>122</v>
      </c>
    </row>
    <row r="36" customFormat="false" ht="15" hidden="false" customHeight="false" outlineLevel="0" collapsed="false">
      <c r="A36" s="19" t="s">
        <v>123</v>
      </c>
      <c r="B36" s="20" t="n">
        <v>300</v>
      </c>
      <c r="C36" s="4" t="s">
        <v>124</v>
      </c>
      <c r="D36" s="19" t="s">
        <v>125</v>
      </c>
    </row>
    <row r="37" customFormat="false" ht="15" hidden="false" customHeight="false" outlineLevel="0" collapsed="false">
      <c r="A37" s="17" t="s">
        <v>126</v>
      </c>
      <c r="B37" s="18"/>
      <c r="C37" s="18"/>
      <c r="D37" s="18"/>
    </row>
    <row r="38" customFormat="false" ht="15" hidden="false" customHeight="false" outlineLevel="0" collapsed="false">
      <c r="A38" s="19" t="s">
        <v>127</v>
      </c>
      <c r="B38" s="23" t="n">
        <v>0.8</v>
      </c>
      <c r="C38" s="4" t="s">
        <v>11</v>
      </c>
      <c r="D38" s="19" t="s">
        <v>128</v>
      </c>
    </row>
    <row r="39" customFormat="false" ht="15" hidden="false" customHeight="false" outlineLevel="0" collapsed="false">
      <c r="A39" s="19" t="s">
        <v>129</v>
      </c>
      <c r="B39" s="23" t="n">
        <v>1.1</v>
      </c>
      <c r="C39" s="4" t="s">
        <v>11</v>
      </c>
      <c r="D39" s="19" t="s">
        <v>130</v>
      </c>
    </row>
    <row r="40" customFormat="false" ht="15" hidden="false" customHeight="false" outlineLevel="0" collapsed="false">
      <c r="A40" s="19" t="s">
        <v>131</v>
      </c>
      <c r="B40" s="23" t="n">
        <v>0.12</v>
      </c>
      <c r="C40" s="4" t="s">
        <v>93</v>
      </c>
      <c r="D40" s="19" t="s">
        <v>132</v>
      </c>
    </row>
    <row r="41" customFormat="false" ht="15" hidden="false" customHeight="false" outlineLevel="0" collapsed="false">
      <c r="A41" s="19" t="s">
        <v>133</v>
      </c>
      <c r="B41" s="20" t="n">
        <v>0</v>
      </c>
      <c r="C41" s="4" t="s">
        <v>62</v>
      </c>
      <c r="D41" s="19" t="s">
        <v>134</v>
      </c>
    </row>
    <row r="42" customFormat="false" ht="15" hidden="false" customHeight="false" outlineLevel="0" collapsed="false">
      <c r="A42" s="19" t="s">
        <v>135</v>
      </c>
      <c r="B42" s="20" t="n">
        <v>24</v>
      </c>
      <c r="C42" s="4" t="s">
        <v>136</v>
      </c>
      <c r="D42" s="19" t="s">
        <v>137</v>
      </c>
    </row>
    <row r="43" customFormat="false" ht="15" hidden="false" customHeight="false" outlineLevel="0" collapsed="false">
      <c r="A43" s="19" t="s">
        <v>138</v>
      </c>
      <c r="B43" s="23" t="n">
        <v>0.27</v>
      </c>
      <c r="C43" s="4" t="s">
        <v>139</v>
      </c>
      <c r="D43" s="19" t="s">
        <v>140</v>
      </c>
    </row>
    <row r="44" customFormat="false" ht="15" hidden="false" customHeight="false" outlineLevel="0" collapsed="false">
      <c r="A44" s="17" t="s">
        <v>141</v>
      </c>
      <c r="B44" s="18"/>
      <c r="C44" s="18"/>
      <c r="D44" s="18"/>
    </row>
    <row r="45" customFormat="false" ht="15" hidden="false" customHeight="false" outlineLevel="0" collapsed="false">
      <c r="A45" s="19" t="s">
        <v>24</v>
      </c>
      <c r="B45" s="20" t="n">
        <v>4</v>
      </c>
      <c r="C45" s="4" t="s">
        <v>62</v>
      </c>
      <c r="D45" s="19" t="s">
        <v>142</v>
      </c>
    </row>
    <row r="46" customFormat="false" ht="15" hidden="false" customHeight="false" outlineLevel="0" collapsed="false">
      <c r="A46" s="19" t="s">
        <v>143</v>
      </c>
      <c r="B46" s="23" t="n">
        <v>0.95</v>
      </c>
      <c r="C46" s="4" t="s">
        <v>11</v>
      </c>
      <c r="D46" s="19"/>
    </row>
    <row r="47" customFormat="false" ht="15" hidden="false" customHeight="false" outlineLevel="0" collapsed="false">
      <c r="A47" s="19" t="s">
        <v>144</v>
      </c>
      <c r="B47" s="24" t="n">
        <v>0.8</v>
      </c>
      <c r="C47" s="4" t="s">
        <v>11</v>
      </c>
      <c r="D47" s="19" t="s">
        <v>145</v>
      </c>
    </row>
    <row r="48" customFormat="false" ht="15" hidden="false" customHeight="false" outlineLevel="0" collapsed="false">
      <c r="A48" s="19" t="s">
        <v>146</v>
      </c>
      <c r="B48" s="20" t="n">
        <v>2</v>
      </c>
      <c r="C48" s="4" t="s">
        <v>62</v>
      </c>
      <c r="D48" s="19" t="s">
        <v>142</v>
      </c>
    </row>
    <row r="49" customFormat="false" ht="15" hidden="false" customHeight="false" outlineLevel="0" collapsed="false">
      <c r="A49" s="19" t="s">
        <v>147</v>
      </c>
      <c r="B49" s="20" t="n">
        <v>230</v>
      </c>
      <c r="C49" s="4" t="s">
        <v>87</v>
      </c>
      <c r="D49" s="19"/>
    </row>
    <row r="50" customFormat="false" ht="15" hidden="false" customHeight="false" outlineLevel="0" collapsed="false">
      <c r="A50" s="19" t="s">
        <v>148</v>
      </c>
      <c r="B50" s="20" t="n">
        <v>32</v>
      </c>
      <c r="C50" s="4" t="s">
        <v>149</v>
      </c>
      <c r="D50" s="19" t="s">
        <v>150</v>
      </c>
    </row>
    <row r="51" customFormat="false" ht="15" hidden="false" customHeight="false" outlineLevel="0" collapsed="false">
      <c r="A51" s="17" t="s">
        <v>151</v>
      </c>
      <c r="B51" s="18"/>
      <c r="C51" s="18"/>
      <c r="D51" s="18"/>
    </row>
    <row r="52" customFormat="false" ht="15" hidden="false" customHeight="false" outlineLevel="0" collapsed="false">
      <c r="A52" s="19" t="s">
        <v>152</v>
      </c>
      <c r="B52" s="20" t="n">
        <v>400</v>
      </c>
      <c r="C52" s="4" t="s">
        <v>7</v>
      </c>
      <c r="D52" s="19" t="s">
        <v>153</v>
      </c>
    </row>
    <row r="53" customFormat="false" ht="15" hidden="false" customHeight="false" outlineLevel="0" collapsed="false">
      <c r="A53" s="19" t="s">
        <v>154</v>
      </c>
      <c r="B53" s="23" t="n">
        <v>0.85</v>
      </c>
      <c r="C53" s="4" t="s">
        <v>11</v>
      </c>
      <c r="D53" s="19"/>
    </row>
    <row r="54" customFormat="false" ht="15" hidden="false" customHeight="false" outlineLevel="0" collapsed="false">
      <c r="A54" s="19" t="s">
        <v>155</v>
      </c>
      <c r="B54" s="20" t="n">
        <v>5</v>
      </c>
      <c r="C54" s="4" t="s">
        <v>156</v>
      </c>
      <c r="D54" s="19" t="s">
        <v>157</v>
      </c>
    </row>
    <row r="55" customFormat="false" ht="15" hidden="false" customHeight="false" outlineLevel="0" collapsed="false">
      <c r="A55" s="17" t="s">
        <v>158</v>
      </c>
      <c r="B55" s="18"/>
      <c r="C55" s="18"/>
      <c r="D55" s="18"/>
    </row>
    <row r="56" customFormat="false" ht="15" hidden="false" customHeight="false" outlineLevel="0" collapsed="false">
      <c r="A56" s="19" t="s">
        <v>159</v>
      </c>
      <c r="B56" s="20" t="n">
        <v>40</v>
      </c>
      <c r="C56" s="4" t="s">
        <v>160</v>
      </c>
      <c r="D56" s="19" t="s">
        <v>161</v>
      </c>
    </row>
    <row r="57" customFormat="false" ht="15" hidden="false" customHeight="false" outlineLevel="0" collapsed="false">
      <c r="A57" s="19" t="s">
        <v>162</v>
      </c>
      <c r="B57" s="20" t="n">
        <v>30</v>
      </c>
      <c r="C57" s="4" t="s">
        <v>160</v>
      </c>
      <c r="D57" s="19" t="s">
        <v>161</v>
      </c>
    </row>
    <row r="58" customFormat="false" ht="15" hidden="false" customHeight="false" outlineLevel="0" collapsed="false">
      <c r="A58" s="19" t="s">
        <v>163</v>
      </c>
      <c r="B58" s="20" t="n">
        <v>60</v>
      </c>
      <c r="C58" s="4" t="s">
        <v>160</v>
      </c>
      <c r="D58" s="19" t="s">
        <v>161</v>
      </c>
    </row>
    <row r="59" customFormat="false" ht="15" hidden="false" customHeight="false" outlineLevel="0" collapsed="false">
      <c r="A59" s="19" t="s">
        <v>164</v>
      </c>
      <c r="B59" s="20" t="n">
        <v>25</v>
      </c>
      <c r="C59" s="4" t="s">
        <v>160</v>
      </c>
      <c r="D59" s="19" t="s">
        <v>161</v>
      </c>
    </row>
    <row r="60" customFormat="false" ht="15" hidden="false" customHeight="false" outlineLevel="0" collapsed="false">
      <c r="A60" s="17" t="s">
        <v>165</v>
      </c>
      <c r="B60" s="18"/>
      <c r="C60" s="18"/>
      <c r="D60" s="18"/>
    </row>
    <row r="61" customFormat="false" ht="15" hidden="false" customHeight="false" outlineLevel="0" collapsed="false">
      <c r="A61" s="19" t="s">
        <v>166</v>
      </c>
      <c r="B61" s="20" t="s">
        <v>167</v>
      </c>
      <c r="C61" s="4" t="s">
        <v>11</v>
      </c>
      <c r="D61" s="19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4</v>
      </c>
      <c r="D4" s="3" t="s">
        <v>59</v>
      </c>
    </row>
    <row r="5" customFormat="false" ht="15" hidden="false" customHeight="false" outlineLevel="0" collapsed="false">
      <c r="A5" s="17" t="s">
        <v>171</v>
      </c>
      <c r="B5" s="18"/>
      <c r="C5" s="18"/>
      <c r="D5" s="18"/>
    </row>
    <row r="6" customFormat="false" ht="15" hidden="false" customHeight="false" outlineLevel="0" collapsed="false">
      <c r="A6" s="19" t="s">
        <v>6</v>
      </c>
      <c r="B6" s="26" t="n">
        <f aca="false">Inputs!$B$8</f>
        <v>1000</v>
      </c>
      <c r="C6" s="4" t="s">
        <v>7</v>
      </c>
      <c r="D6" s="19"/>
    </row>
    <row r="7" customFormat="false" ht="15" hidden="false" customHeight="false" outlineLevel="0" collapsed="false">
      <c r="A7" s="19" t="s">
        <v>172</v>
      </c>
      <c r="B7" s="26" t="n">
        <f aca="false">Inputs!$B$9</f>
        <v>400</v>
      </c>
      <c r="C7" s="4" t="s">
        <v>7</v>
      </c>
      <c r="D7" s="19"/>
    </row>
    <row r="8" customFormat="false" ht="15" hidden="false" customHeight="false" outlineLevel="0" collapsed="false">
      <c r="A8" s="19" t="s">
        <v>173</v>
      </c>
      <c r="B8" s="26" t="n">
        <f aca="false">Inputs!$B$10</f>
        <v>60</v>
      </c>
      <c r="C8" s="4" t="s">
        <v>7</v>
      </c>
      <c r="D8" s="19"/>
    </row>
    <row r="9" customFormat="false" ht="15" hidden="false" customHeight="false" outlineLevel="0" collapsed="false">
      <c r="A9" s="19" t="s">
        <v>72</v>
      </c>
      <c r="B9" s="26" t="n">
        <f aca="false">Inputs!$B$11</f>
        <v>40</v>
      </c>
      <c r="C9" s="4" t="s">
        <v>7</v>
      </c>
      <c r="D9" s="19"/>
    </row>
    <row r="10" customFormat="false" ht="15" hidden="false" customHeight="false" outlineLevel="0" collapsed="false">
      <c r="A10" s="19" t="s">
        <v>9</v>
      </c>
      <c r="B10" s="21" t="n">
        <f aca="false">Inputs!$B$12</f>
        <v>1500</v>
      </c>
      <c r="C10" s="4" t="s">
        <v>7</v>
      </c>
      <c r="D10" s="19"/>
    </row>
    <row r="11" customFormat="false" ht="15" hidden="false" customHeight="false" outlineLevel="0" collapsed="false">
      <c r="A11" s="19" t="s">
        <v>174</v>
      </c>
      <c r="B11" s="21" t="n">
        <f aca="false">Inputs!$B$12/Inputs!$B$15</f>
        <v>1666.66666666667</v>
      </c>
      <c r="C11" s="4" t="s">
        <v>13</v>
      </c>
      <c r="D11" s="19" t="s">
        <v>175</v>
      </c>
    </row>
    <row r="12" customFormat="false" ht="15" hidden="false" customHeight="false" outlineLevel="0" collapsed="false">
      <c r="A12" s="17" t="s">
        <v>176</v>
      </c>
      <c r="B12" s="18"/>
      <c r="C12" s="18"/>
      <c r="D12" s="18"/>
    </row>
    <row r="13" customFormat="false" ht="15" hidden="false" customHeight="false" outlineLevel="0" collapsed="false">
      <c r="A13" s="19" t="s">
        <v>177</v>
      </c>
      <c r="B13" s="21" t="n">
        <f aca="false">Inputs!$B$12/2</f>
        <v>750</v>
      </c>
      <c r="C13" s="4" t="s">
        <v>7</v>
      </c>
      <c r="D13" s="19" t="s">
        <v>178</v>
      </c>
    </row>
    <row r="14" customFormat="false" ht="15" hidden="false" customHeight="false" outlineLevel="0" collapsed="false">
      <c r="A14" s="19" t="s">
        <v>179</v>
      </c>
      <c r="B14" s="21" t="n">
        <f aca="false">Load_Calc!$B$11/2</f>
        <v>833.333333333333</v>
      </c>
      <c r="C14" s="4" t="s">
        <v>13</v>
      </c>
      <c r="D14" s="19"/>
    </row>
    <row r="15" customFormat="false" ht="15" hidden="false" customHeight="false" outlineLevel="0" collapsed="false">
      <c r="A15" s="19" t="s">
        <v>180</v>
      </c>
      <c r="B15" s="21" t="n">
        <f aca="false">Inputs!$B$12</f>
        <v>1500</v>
      </c>
      <c r="C15" s="4" t="s">
        <v>7</v>
      </c>
      <c r="D15" s="19" t="s">
        <v>181</v>
      </c>
    </row>
    <row r="16" customFormat="false" ht="15" hidden="false" customHeight="false" outlineLevel="0" collapsed="false">
      <c r="A16" s="19" t="s">
        <v>182</v>
      </c>
      <c r="B16" s="21" t="n">
        <f aca="false">Load_Calc!$B$11</f>
        <v>1666.66666666667</v>
      </c>
      <c r="C16" s="4" t="s">
        <v>13</v>
      </c>
      <c r="D16" s="19"/>
    </row>
    <row r="17" customFormat="false" ht="15" hidden="false" customHeight="false" outlineLevel="0" collapsed="false">
      <c r="A17" s="17" t="s">
        <v>183</v>
      </c>
      <c r="B17" s="18"/>
      <c r="C17" s="18"/>
      <c r="D17" s="18"/>
    </row>
    <row r="18" customFormat="false" ht="15" hidden="false" customHeight="false" outlineLevel="0" collapsed="false">
      <c r="A18" s="19" t="s">
        <v>12</v>
      </c>
      <c r="B18" s="21" t="n">
        <f aca="false">Inputs!$B$12*(1+Inputs!$B$16)</f>
        <v>1800</v>
      </c>
      <c r="C18" s="4" t="s">
        <v>7</v>
      </c>
      <c r="D18" s="19"/>
    </row>
    <row r="19" customFormat="false" ht="15" hidden="false" customHeight="false" outlineLevel="0" collapsed="false">
      <c r="A19" s="19" t="s">
        <v>184</v>
      </c>
      <c r="B19" s="21" t="n">
        <f aca="false">Load_Calc!$B$11*(1+Inputs!$B$16)</f>
        <v>2000</v>
      </c>
      <c r="C19" s="4" t="s">
        <v>13</v>
      </c>
      <c r="D19" s="19" t="s">
        <v>185</v>
      </c>
    </row>
    <row r="20" customFormat="false" ht="15" hidden="false" customHeight="false" outlineLevel="0" collapsed="false">
      <c r="A20" s="19" t="s">
        <v>186</v>
      </c>
      <c r="B20" s="21" t="n">
        <f aca="false">Inputs!$B$8*(1+Inputs!$B$16)</f>
        <v>1200</v>
      </c>
      <c r="C20" s="4" t="s">
        <v>7</v>
      </c>
      <c r="D20" s="19" t="s">
        <v>187</v>
      </c>
    </row>
    <row r="25" customFormat="false" ht="15" hidden="false" customHeight="false" outlineLevel="0" collapsed="false">
      <c r="A25" s="3" t="s">
        <v>188</v>
      </c>
      <c r="B25" s="3" t="s">
        <v>7</v>
      </c>
      <c r="C25" s="3" t="s">
        <v>189</v>
      </c>
      <c r="D25" s="3"/>
    </row>
    <row r="26" customFormat="false" ht="15" hidden="false" customHeight="false" outlineLevel="0" collapsed="false">
      <c r="A26" s="4" t="s">
        <v>6</v>
      </c>
      <c r="B26" s="27" t="n">
        <f aca="false">Inputs!$B$8</f>
        <v>1000</v>
      </c>
      <c r="C26" s="28" t="n">
        <f aca="false">B26/Inputs!$B$12</f>
        <v>0.666666666666667</v>
      </c>
    </row>
    <row r="27" customFormat="false" ht="15" hidden="false" customHeight="false" outlineLevel="0" collapsed="false">
      <c r="A27" s="4" t="s">
        <v>172</v>
      </c>
      <c r="B27" s="27" t="n">
        <f aca="false">Inputs!$B$9</f>
        <v>400</v>
      </c>
      <c r="C27" s="28" t="n">
        <f aca="false">B27/Inputs!$B$12</f>
        <v>0.266666666666667</v>
      </c>
    </row>
    <row r="28" customFormat="false" ht="15" hidden="false" customHeight="false" outlineLevel="0" collapsed="false">
      <c r="A28" s="4" t="s">
        <v>173</v>
      </c>
      <c r="B28" s="27" t="n">
        <f aca="false">Inputs!$B$10</f>
        <v>60</v>
      </c>
      <c r="C28" s="28" t="n">
        <f aca="false">B28/Inputs!$B$12</f>
        <v>0.04</v>
      </c>
    </row>
    <row r="29" customFormat="false" ht="15" hidden="false" customHeight="false" outlineLevel="0" collapsed="false">
      <c r="A29" s="4" t="s">
        <v>190</v>
      </c>
      <c r="B29" s="27" t="n">
        <f aca="false">Inputs!$B$11</f>
        <v>40</v>
      </c>
      <c r="C29" s="28" t="n">
        <f aca="false">B29/Inputs!$B$12</f>
        <v>0.0266666666666667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4</v>
      </c>
      <c r="D4" s="3" t="s">
        <v>59</v>
      </c>
    </row>
    <row r="5" customFormat="false" ht="15" hidden="false" customHeight="false" outlineLevel="0" collapsed="false">
      <c r="A5" s="17" t="s">
        <v>193</v>
      </c>
      <c r="B5" s="18"/>
      <c r="C5" s="18"/>
      <c r="D5" s="18"/>
    </row>
    <row r="6" customFormat="false" ht="15" hidden="false" customHeight="false" outlineLevel="0" collapsed="false">
      <c r="A6" s="19" t="s">
        <v>194</v>
      </c>
      <c r="B6" s="21" t="n">
        <f aca="false">Load_Calc!$B$19/Inputs!$B$17</f>
        <v>2352.94117647059</v>
      </c>
      <c r="C6" s="4" t="s">
        <v>13</v>
      </c>
      <c r="D6" s="19"/>
    </row>
    <row r="7" customFormat="false" ht="15" hidden="false" customHeight="false" outlineLevel="0" collapsed="false">
      <c r="A7" s="19" t="s">
        <v>195</v>
      </c>
      <c r="B7" s="21" t="n">
        <f aca="false">IFERROR(INDEX(Std_Sizes!$A$3:$A$9,COUNTIF(Std_Sizes!$A$3:$A$9,"&lt;"&amp;(Sizing!$B$6))+1),"EXCEEDS LIST")</f>
        <v>2500</v>
      </c>
      <c r="C7" s="4" t="s">
        <v>13</v>
      </c>
      <c r="D7" s="19" t="s">
        <v>196</v>
      </c>
    </row>
    <row r="8" customFormat="false" ht="15" hidden="false" customHeight="false" outlineLevel="0" collapsed="false">
      <c r="A8" s="19" t="s">
        <v>197</v>
      </c>
      <c r="B8" s="21" t="n">
        <f aca="false">Sizing!$B$7*1000/(SQRT(3)*Inputs!$B$19)</f>
        <v>3478.01366981702</v>
      </c>
      <c r="C8" s="4" t="s">
        <v>149</v>
      </c>
      <c r="D8" s="19"/>
    </row>
    <row r="9" customFormat="false" ht="15" hidden="false" customHeight="false" outlineLevel="0" collapsed="false">
      <c r="A9" s="19" t="s">
        <v>198</v>
      </c>
      <c r="B9" s="29" t="n">
        <f aca="false">Sizing!$B$7*1000/(SQRT(3)*Inputs!$B$18*1000)</f>
        <v>131.21597027037</v>
      </c>
      <c r="C9" s="4" t="s">
        <v>149</v>
      </c>
      <c r="D9" s="19"/>
    </row>
    <row r="10" customFormat="false" ht="15" hidden="false" customHeight="false" outlineLevel="0" collapsed="false">
      <c r="A10" s="19" t="s">
        <v>199</v>
      </c>
      <c r="B10" s="30" t="n">
        <f aca="false">Load_Calc!$B$14/Sizing!$B$7</f>
        <v>0.333333333333333</v>
      </c>
      <c r="C10" s="4"/>
      <c r="D10" s="19"/>
    </row>
    <row r="11" customFormat="false" ht="15" hidden="false" customHeight="false" outlineLevel="0" collapsed="false">
      <c r="A11" s="19" t="s">
        <v>200</v>
      </c>
      <c r="B11" s="30" t="n">
        <f aca="false">Load_Calc!$B$16/Sizing!$B$7</f>
        <v>0.666666666666667</v>
      </c>
      <c r="C11" s="4"/>
      <c r="D11" s="19" t="s">
        <v>201</v>
      </c>
    </row>
    <row r="12" customFormat="false" ht="15" hidden="false" customHeight="false" outlineLevel="0" collapsed="false">
      <c r="A12" s="19" t="s">
        <v>202</v>
      </c>
      <c r="B12" s="30" t="n">
        <f aca="false">Load_Calc!$B$19/Sizing!$B$7</f>
        <v>0.8</v>
      </c>
      <c r="C12" s="4"/>
      <c r="D12" s="19" t="s">
        <v>203</v>
      </c>
    </row>
    <row r="13" customFormat="false" ht="15" hidden="false" customHeight="false" outlineLevel="0" collapsed="false">
      <c r="A13" s="19" t="s">
        <v>204</v>
      </c>
      <c r="B13" s="21" t="n">
        <f aca="false">IFERROR(INDEX(Std_Sizes!$G$3:$G$13,COUNTIF(Std_Sizes!$G$3:$G$13,"&lt;"&amp;(Sizing!$B$8))+1),"EXCEEDS LIST")</f>
        <v>4000</v>
      </c>
      <c r="C13" s="4" t="s">
        <v>149</v>
      </c>
      <c r="D13" s="19" t="s">
        <v>205</v>
      </c>
    </row>
    <row r="14" customFormat="false" ht="15" hidden="false" customHeight="false" outlineLevel="0" collapsed="false">
      <c r="A14" s="17" t="s">
        <v>206</v>
      </c>
      <c r="B14" s="18"/>
      <c r="C14" s="18"/>
      <c r="D14" s="18"/>
    </row>
    <row r="15" customFormat="false" ht="15" hidden="false" customHeight="false" outlineLevel="0" collapsed="false">
      <c r="A15" s="19" t="s">
        <v>207</v>
      </c>
      <c r="B15" s="21" t="n">
        <f aca="false">Load_Calc!$B$20/Inputs!$B$26</f>
        <v>1200</v>
      </c>
      <c r="C15" s="4" t="s">
        <v>13</v>
      </c>
      <c r="D15" s="19"/>
    </row>
    <row r="16" customFormat="false" ht="15" hidden="false" customHeight="false" outlineLevel="0" collapsed="false">
      <c r="A16" s="19" t="s">
        <v>208</v>
      </c>
      <c r="B16" s="21" t="n">
        <f aca="false">IFERROR(INDEX(Std_Sizes!$B$3:$B$11,COUNTIF(Std_Sizes!$B$3:$B$11,"&lt;"&amp;(Sizing!$B$15))+1),"EXCEEDS LIST")</f>
        <v>1200</v>
      </c>
      <c r="C16" s="4" t="s">
        <v>13</v>
      </c>
      <c r="D16" s="19" t="s">
        <v>209</v>
      </c>
    </row>
    <row r="17" customFormat="false" ht="15" hidden="false" customHeight="false" outlineLevel="0" collapsed="false">
      <c r="A17" s="19" t="s">
        <v>210</v>
      </c>
      <c r="B17" s="30" t="n">
        <f aca="false">(Inputs!$B$8/2/Inputs!$B$26)/Sizing!$B$16</f>
        <v>0.416666666666667</v>
      </c>
      <c r="C17" s="4"/>
      <c r="D17" s="19" t="s">
        <v>211</v>
      </c>
    </row>
    <row r="18" customFormat="false" ht="15" hidden="false" customHeight="false" outlineLevel="0" collapsed="false">
      <c r="A18" s="19" t="s">
        <v>212</v>
      </c>
      <c r="B18" s="30" t="n">
        <f aca="false">(Inputs!$B$8/Inputs!$B$26)/Sizing!$B$16</f>
        <v>0.833333333333333</v>
      </c>
      <c r="C18" s="4"/>
      <c r="D18" s="19" t="s">
        <v>213</v>
      </c>
    </row>
    <row r="19" customFormat="false" ht="15" hidden="false" customHeight="false" outlineLevel="0" collapsed="false">
      <c r="A19" s="19" t="s">
        <v>214</v>
      </c>
      <c r="B19" s="21" t="n">
        <f aca="false">Sizing!$B$16*1000/(SQRT(3)*Inputs!$B$19)</f>
        <v>1669.44656151217</v>
      </c>
      <c r="C19" s="4" t="s">
        <v>149</v>
      </c>
      <c r="D19" s="19"/>
    </row>
    <row r="20" customFormat="false" ht="15" hidden="false" customHeight="false" outlineLevel="0" collapsed="false">
      <c r="A20" s="19" t="s">
        <v>215</v>
      </c>
      <c r="B20" s="21" t="n">
        <f aca="false">Sizing!$B$16*Inputs!$B$26/Inputs!$B$27*Inputs!$B$28/Inputs!$B$29</f>
        <v>1388.88888888889</v>
      </c>
      <c r="C20" s="4" t="s">
        <v>13</v>
      </c>
      <c r="D20" s="19"/>
    </row>
    <row r="21" customFormat="false" ht="15" hidden="false" customHeight="false" outlineLevel="0" collapsed="false">
      <c r="A21" s="19" t="s">
        <v>216</v>
      </c>
      <c r="B21" s="21" t="n">
        <f aca="false">Sizing!$B$20*1000/(SQRT(3)*Inputs!$B$19)</f>
        <v>1932.22981656501</v>
      </c>
      <c r="C21" s="4" t="s">
        <v>149</v>
      </c>
      <c r="D21" s="19"/>
    </row>
    <row r="22" customFormat="false" ht="15" hidden="false" customHeight="false" outlineLevel="0" collapsed="false">
      <c r="A22" s="17" t="s">
        <v>217</v>
      </c>
      <c r="B22" s="18"/>
      <c r="C22" s="18"/>
      <c r="D22" s="18"/>
    </row>
    <row r="23" customFormat="false" ht="15" hidden="false" customHeight="false" outlineLevel="0" collapsed="false">
      <c r="A23" s="19" t="s">
        <v>218</v>
      </c>
      <c r="B23" s="21" t="n">
        <f aca="false">Sizing!$B$16*Inputs!$B$26/Inputs!$B$27</f>
        <v>1250</v>
      </c>
      <c r="C23" s="4" t="s">
        <v>7</v>
      </c>
      <c r="D23" s="19"/>
    </row>
    <row r="24" customFormat="false" ht="15" hidden="false" customHeight="false" outlineLevel="0" collapsed="false">
      <c r="A24" s="19" t="s">
        <v>219</v>
      </c>
      <c r="B24" s="29" t="n">
        <f aca="false">Sizing!$B$23*Inputs!$B$30/60</f>
        <v>208.333333333333</v>
      </c>
      <c r="C24" s="4" t="s">
        <v>220</v>
      </c>
      <c r="D24" s="19"/>
    </row>
    <row r="25" customFormat="false" ht="15" hidden="false" customHeight="false" outlineLevel="0" collapsed="false">
      <c r="A25" s="19" t="s">
        <v>221</v>
      </c>
      <c r="B25" s="29" t="n">
        <f aca="false">Sizing!$B$24*Inputs!$B$33*Inputs!$B$34/Inputs!$B$35</f>
        <v>520.833333333333</v>
      </c>
      <c r="C25" s="4" t="s">
        <v>220</v>
      </c>
      <c r="D25" s="19"/>
    </row>
    <row r="26" customFormat="false" ht="15" hidden="false" customHeight="false" outlineLevel="0" collapsed="false">
      <c r="A26" s="19" t="s">
        <v>222</v>
      </c>
      <c r="B26" s="21" t="n">
        <f aca="false">Inputs!$B$31*2</f>
        <v>480</v>
      </c>
      <c r="C26" s="4" t="s">
        <v>87</v>
      </c>
      <c r="D26" s="19"/>
    </row>
    <row r="27" customFormat="false" ht="15" hidden="false" customHeight="false" outlineLevel="0" collapsed="false">
      <c r="A27" s="19" t="s">
        <v>223</v>
      </c>
      <c r="B27" s="21" t="n">
        <f aca="false">Sizing!$B$25*1000/Sizing!$B$26</f>
        <v>1085.06944444444</v>
      </c>
      <c r="C27" s="4" t="s">
        <v>124</v>
      </c>
      <c r="D27" s="19"/>
    </row>
    <row r="28" customFormat="false" ht="15" hidden="false" customHeight="false" outlineLevel="0" collapsed="false">
      <c r="A28" s="19" t="s">
        <v>224</v>
      </c>
      <c r="B28" s="31" t="n">
        <f aca="false">ROUNDUP(Sizing!$B$27/Inputs!$B$36,0)</f>
        <v>4</v>
      </c>
      <c r="C28" s="4" t="s">
        <v>62</v>
      </c>
      <c r="D28" s="19"/>
    </row>
    <row r="29" customFormat="false" ht="15" hidden="false" customHeight="false" outlineLevel="0" collapsed="false">
      <c r="A29" s="19" t="s">
        <v>225</v>
      </c>
      <c r="B29" s="21" t="n">
        <f aca="false">Sizing!$B$28*Inputs!$B$36</f>
        <v>1200</v>
      </c>
      <c r="C29" s="4" t="s">
        <v>124</v>
      </c>
      <c r="D29" s="19"/>
    </row>
    <row r="30" customFormat="false" ht="15" hidden="false" customHeight="false" outlineLevel="0" collapsed="false">
      <c r="A30" s="19" t="s">
        <v>226</v>
      </c>
      <c r="B30" s="21" t="n">
        <f aca="false">Sizing!$B$29*Sizing!$B$26/1000</f>
        <v>576</v>
      </c>
      <c r="C30" s="4" t="s">
        <v>220</v>
      </c>
      <c r="D30" s="19"/>
    </row>
    <row r="31" customFormat="false" ht="15" hidden="false" customHeight="false" outlineLevel="0" collapsed="false">
      <c r="A31" s="19" t="s">
        <v>227</v>
      </c>
      <c r="B31" s="21" t="n">
        <f aca="false">Sizing!$B$23*1000/(Inputs!$B$31*Inputs!$B$32)</f>
        <v>3118.7624750499</v>
      </c>
      <c r="C31" s="4" t="s">
        <v>149</v>
      </c>
      <c r="D31" s="19"/>
    </row>
    <row r="32" customFormat="false" ht="15" hidden="false" customHeight="false" outlineLevel="0" collapsed="false">
      <c r="A32" s="19" t="s">
        <v>228</v>
      </c>
      <c r="B32" s="21" t="n">
        <f aca="false">Sizing!$B$31/Sizing!$B$28</f>
        <v>779.690618762475</v>
      </c>
      <c r="C32" s="4" t="s">
        <v>149</v>
      </c>
      <c r="D32" s="19"/>
    </row>
    <row r="33" customFormat="false" ht="15" hidden="false" customHeight="false" outlineLevel="0" collapsed="false">
      <c r="A33" s="17" t="s">
        <v>229</v>
      </c>
      <c r="B33" s="18"/>
      <c r="C33" s="18"/>
      <c r="D33" s="18"/>
    </row>
    <row r="34" customFormat="false" ht="15" hidden="false" customHeight="false" outlineLevel="0" collapsed="false">
      <c r="A34" s="19" t="s">
        <v>230</v>
      </c>
      <c r="B34" s="21" t="n">
        <f aca="false">Load_Calc!$B$18*Inputs!$B$39</f>
        <v>1980</v>
      </c>
      <c r="C34" s="4" t="s">
        <v>7</v>
      </c>
      <c r="D34" s="19"/>
    </row>
    <row r="35" customFormat="false" ht="15" hidden="false" customHeight="false" outlineLevel="0" collapsed="false">
      <c r="A35" s="19" t="s">
        <v>231</v>
      </c>
      <c r="B35" s="21" t="n">
        <f aca="false">Sizing!$B$34/Inputs!$B$38</f>
        <v>2475</v>
      </c>
      <c r="C35" s="4" t="s">
        <v>13</v>
      </c>
      <c r="D35" s="19"/>
    </row>
    <row r="36" customFormat="false" ht="15" hidden="false" customHeight="false" outlineLevel="0" collapsed="false">
      <c r="A36" s="19" t="s">
        <v>232</v>
      </c>
      <c r="B36" s="21" t="n">
        <f aca="false">IFERROR(INDEX(Std_Sizes!$C$3:$C$10,COUNTIF(Std_Sizes!$C$3:$C$10,"&lt;"&amp;(Sizing!$B$35))+1),"EXCEEDS LIST")</f>
        <v>2500</v>
      </c>
      <c r="C36" s="4" t="s">
        <v>13</v>
      </c>
      <c r="D36" s="19" t="s">
        <v>209</v>
      </c>
    </row>
    <row r="37" customFormat="false" ht="15" hidden="false" customHeight="false" outlineLevel="0" collapsed="false">
      <c r="A37" s="19" t="s">
        <v>233</v>
      </c>
      <c r="B37" s="21" t="n">
        <f aca="false">Sizing!$B$36*Inputs!$B$38</f>
        <v>2000</v>
      </c>
      <c r="C37" s="4" t="s">
        <v>7</v>
      </c>
      <c r="D37" s="19"/>
    </row>
    <row r="38" customFormat="false" ht="15" hidden="false" customHeight="false" outlineLevel="0" collapsed="false">
      <c r="A38" s="19" t="s">
        <v>234</v>
      </c>
      <c r="B38" s="30" t="n">
        <f aca="false">Inputs!$B$12/Sizing!$B$37</f>
        <v>0.75</v>
      </c>
      <c r="C38" s="4"/>
      <c r="D38" s="19"/>
    </row>
    <row r="39" customFormat="false" ht="15" hidden="false" customHeight="false" outlineLevel="0" collapsed="false">
      <c r="A39" s="19" t="s">
        <v>235</v>
      </c>
      <c r="B39" s="30" t="n">
        <f aca="false">Inputs!$B$12/2/Sizing!$B$37</f>
        <v>0.375</v>
      </c>
      <c r="C39" s="4"/>
      <c r="D39" s="19" t="s">
        <v>236</v>
      </c>
    </row>
    <row r="40" customFormat="false" ht="15" hidden="false" customHeight="false" outlineLevel="0" collapsed="false">
      <c r="A40" s="19" t="s">
        <v>237</v>
      </c>
      <c r="B40" s="31" t="n">
        <f aca="false">1+Inputs!$B$41</f>
        <v>1</v>
      </c>
      <c r="C40" s="4" t="s">
        <v>62</v>
      </c>
      <c r="D40" s="19"/>
    </row>
    <row r="41" customFormat="false" ht="15" hidden="false" customHeight="false" outlineLevel="0" collapsed="false">
      <c r="A41" s="19" t="s">
        <v>238</v>
      </c>
      <c r="B41" s="21" t="n">
        <f aca="false">Sizing!$B$36*1000/(SQRT(3)*Inputs!$B$19)</f>
        <v>3478.01366981702</v>
      </c>
      <c r="C41" s="4" t="s">
        <v>149</v>
      </c>
      <c r="D41" s="19"/>
    </row>
    <row r="42" customFormat="false" ht="15" hidden="false" customHeight="false" outlineLevel="0" collapsed="false">
      <c r="A42" s="19" t="s">
        <v>239</v>
      </c>
      <c r="B42" s="21" t="n">
        <f aca="false">Inputs!$B$12*Inputs!$B$43</f>
        <v>405</v>
      </c>
      <c r="C42" s="4" t="s">
        <v>240</v>
      </c>
      <c r="D42" s="19"/>
    </row>
    <row r="43" customFormat="false" ht="15" hidden="false" customHeight="false" outlineLevel="0" collapsed="false">
      <c r="A43" s="19" t="s">
        <v>241</v>
      </c>
      <c r="B43" s="21" t="n">
        <f aca="false">Sizing!$B$42*Inputs!$B$42</f>
        <v>9720</v>
      </c>
      <c r="C43" s="4" t="s">
        <v>23</v>
      </c>
      <c r="D43" s="19"/>
    </row>
    <row r="44" customFormat="false" ht="15" hidden="false" customHeight="false" outlineLevel="0" collapsed="false">
      <c r="A44" s="17" t="s">
        <v>242</v>
      </c>
      <c r="B44" s="18"/>
      <c r="C44" s="18"/>
      <c r="D44" s="18"/>
    </row>
    <row r="45" customFormat="false" ht="15" hidden="false" customHeight="false" outlineLevel="0" collapsed="false">
      <c r="A45" s="19" t="s">
        <v>243</v>
      </c>
      <c r="B45" s="21" t="n">
        <f aca="false">Load_Calc!$B$20/Inputs!$B$46/Inputs!$B$45/Inputs!$B$47</f>
        <v>394.736842105263</v>
      </c>
      <c r="C45" s="4" t="s">
        <v>13</v>
      </c>
      <c r="D45" s="19"/>
    </row>
    <row r="46" customFormat="false" ht="15" hidden="false" customHeight="false" outlineLevel="0" collapsed="false">
      <c r="A46" s="19" t="s">
        <v>244</v>
      </c>
      <c r="B46" s="21" t="n">
        <f aca="false">IFERROR(INDEX(Std_Sizes!$D$3:$D$9,COUNTIF(Std_Sizes!$D$3:$D$9,"&lt;"&amp;(Sizing!$B$45))+1),"EXCEEDS LIST")</f>
        <v>400</v>
      </c>
      <c r="C46" s="4" t="s">
        <v>13</v>
      </c>
      <c r="D46" s="19"/>
    </row>
    <row r="47" customFormat="false" ht="15" hidden="false" customHeight="false" outlineLevel="0" collapsed="false">
      <c r="A47" s="19" t="s">
        <v>245</v>
      </c>
      <c r="B47" s="30" t="n">
        <f aca="false">(Inputs!$B$8/Inputs!$B$46/Inputs!$B$45)/Sizing!$B$46</f>
        <v>0.657894736842105</v>
      </c>
      <c r="C47" s="4"/>
      <c r="D47" s="19"/>
    </row>
    <row r="48" customFormat="false" ht="15" hidden="false" customHeight="false" outlineLevel="0" collapsed="false">
      <c r="A48" s="19" t="s">
        <v>246</v>
      </c>
      <c r="B48" s="21" t="n">
        <f aca="false">Sizing!$B$46*1000/(SQRT(3)*Inputs!$B$19)</f>
        <v>556.482187170724</v>
      </c>
      <c r="C48" s="4" t="s">
        <v>149</v>
      </c>
      <c r="D48" s="19"/>
    </row>
    <row r="49" customFormat="false" ht="15" hidden="false" customHeight="false" outlineLevel="0" collapsed="false">
      <c r="A49" s="19" t="s">
        <v>247</v>
      </c>
      <c r="B49" s="31" t="n">
        <f aca="false">Inputs!$B$6/Inputs!$B$45</f>
        <v>50</v>
      </c>
      <c r="C49" s="4" t="s">
        <v>62</v>
      </c>
      <c r="D49" s="19"/>
    </row>
    <row r="50" customFormat="false" ht="15" hidden="false" customHeight="false" outlineLevel="0" collapsed="false">
      <c r="A50" s="19" t="s">
        <v>248</v>
      </c>
      <c r="B50" s="31" t="n">
        <f aca="false">Inputs!$B$45*Inputs!$B$48</f>
        <v>8</v>
      </c>
      <c r="C50" s="4" t="s">
        <v>62</v>
      </c>
      <c r="D50" s="19"/>
    </row>
    <row r="51" customFormat="false" ht="15" hidden="false" customHeight="false" outlineLevel="0" collapsed="false">
      <c r="A51" s="19" t="s">
        <v>249</v>
      </c>
      <c r="B51" s="32" t="n">
        <f aca="false">Inputs!$B$7*1000/(Inputs!$B$49*Inputs!$B$46)</f>
        <v>22.883295194508</v>
      </c>
      <c r="C51" s="4" t="s">
        <v>149</v>
      </c>
      <c r="D51" s="19" t="s">
        <v>250</v>
      </c>
    </row>
    <row r="52" customFormat="false" ht="15" hidden="false" customHeight="false" outlineLevel="0" collapsed="false">
      <c r="A52" s="19" t="s">
        <v>251</v>
      </c>
      <c r="B52" s="33" t="str">
        <f aca="false">IF(Sizing!$B$51&lt;=0.8*Inputs!$B$50,"OK","FAIL")</f>
        <v>OK</v>
      </c>
      <c r="C52" s="4"/>
      <c r="D5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6" min="15" style="0" width="11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0" min="20" style="0" width="10"/>
    <col collapsed="false" customWidth="true" hidden="false" outlineLevel="0" max="21" min="21" style="0" width="14"/>
    <col collapsed="false" customWidth="true" hidden="false" outlineLevel="0" max="22" min="22" style="0" width="11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4" customFormat="false" ht="54.75" hidden="false" customHeight="true" outlineLevel="0" collapsed="false">
      <c r="A4" s="3" t="s">
        <v>254</v>
      </c>
      <c r="B4" s="3" t="s">
        <v>255</v>
      </c>
      <c r="C4" s="3" t="s">
        <v>256</v>
      </c>
      <c r="D4" s="3" t="s">
        <v>257</v>
      </c>
      <c r="E4" s="3" t="s">
        <v>258</v>
      </c>
      <c r="F4" s="3" t="s">
        <v>259</v>
      </c>
      <c r="G4" s="3" t="s">
        <v>260</v>
      </c>
      <c r="H4" s="3" t="s">
        <v>261</v>
      </c>
      <c r="I4" s="3" t="s">
        <v>262</v>
      </c>
      <c r="J4" s="3" t="s">
        <v>263</v>
      </c>
      <c r="K4" s="3" t="s">
        <v>264</v>
      </c>
      <c r="L4" s="3" t="s">
        <v>265</v>
      </c>
      <c r="M4" s="3" t="s">
        <v>266</v>
      </c>
      <c r="N4" s="3" t="s">
        <v>267</v>
      </c>
      <c r="O4" s="3" t="s">
        <v>268</v>
      </c>
      <c r="P4" s="3" t="s">
        <v>269</v>
      </c>
      <c r="Q4" s="3" t="s">
        <v>270</v>
      </c>
      <c r="R4" s="3" t="s">
        <v>271</v>
      </c>
      <c r="S4" s="3" t="s">
        <v>272</v>
      </c>
      <c r="T4" s="3" t="s">
        <v>273</v>
      </c>
      <c r="U4" s="3" t="s">
        <v>274</v>
      </c>
      <c r="V4" s="3" t="s">
        <v>275</v>
      </c>
    </row>
    <row r="5" customFormat="false" ht="15" hidden="false" customHeight="false" outlineLevel="0" collapsed="false">
      <c r="A5" s="19" t="s">
        <v>159</v>
      </c>
      <c r="B5" s="34" t="n">
        <f aca="false">Sizing!$B$21</f>
        <v>1932.22981656501</v>
      </c>
      <c r="C5" s="4" t="n">
        <f aca="false">Inputs!$B$19</f>
        <v>415</v>
      </c>
      <c r="D5" s="4" t="n">
        <v>3</v>
      </c>
      <c r="E5" s="4" t="n">
        <f aca="false">Inputs!$B$56</f>
        <v>40</v>
      </c>
      <c r="F5" s="35" t="n">
        <v>0.99</v>
      </c>
      <c r="G5" s="35" t="n">
        <v>300</v>
      </c>
      <c r="H5" s="4" t="n">
        <f aca="false">INDEX(Std_Sizes!$L$3:$L$15,MATCH(G5,Std_Sizes!$K$3:$K$15,0))</f>
        <v>631</v>
      </c>
      <c r="I5" s="36" t="n">
        <f aca="false">Inputs!$B$23*Inputs!$B$24</f>
        <v>0.696</v>
      </c>
      <c r="J5" s="4" t="n">
        <f aca="false">ROUNDUP(B5/(H5*I5),0)</f>
        <v>5</v>
      </c>
      <c r="K5" s="34" t="n">
        <f aca="false">H5*I5*J5</f>
        <v>2195.88</v>
      </c>
      <c r="L5" s="4" t="str">
        <f aca="false">IF(K5&gt;=B5,"OK","FAIL")</f>
        <v>OK</v>
      </c>
      <c r="M5" s="4" t="n">
        <f aca="false">INDEX(Std_Sizes!$M$3:$M$15,MATCH(G5,Std_Sizes!$K$3:$K$15,0))</f>
        <v>0.077</v>
      </c>
      <c r="N5" s="4" t="n">
        <f aca="false">INDEX(Std_Sizes!$N$3:$N$15,MATCH(G5,Std_Sizes!$K$3:$K$15,0))</f>
        <v>0.071</v>
      </c>
      <c r="O5" s="37" t="n">
        <f aca="false">IF(D5=3,SQRT(3),2)*(B5/J5)*E5/1000*(M5*F5+N5*SQRT(1-F5^2))</f>
        <v>2.30912403067103</v>
      </c>
      <c r="P5" s="38" t="n">
        <f aca="false">O5/C5</f>
        <v>0.00556415429077355</v>
      </c>
      <c r="Q5" s="39" t="n">
        <v>0.03</v>
      </c>
      <c r="R5" s="4" t="str">
        <f aca="false">IF(P5&lt;=Q5,"OK","FAIL")</f>
        <v>OK</v>
      </c>
      <c r="S5" s="40" t="n">
        <f aca="false">ShortCircuit!$C$17</f>
        <v>51.2460269727198</v>
      </c>
      <c r="T5" s="35" t="n">
        <v>0.3</v>
      </c>
      <c r="U5" s="40" t="n">
        <f aca="false">S5*1000/J5*SQRT(T5)/143</f>
        <v>39.25679014752</v>
      </c>
      <c r="V5" s="4" t="str">
        <f aca="false">IF(G5&gt;=U5,"OK","FAIL")</f>
        <v>OK</v>
      </c>
    </row>
    <row r="6" customFormat="false" ht="15" hidden="false" customHeight="false" outlineLevel="0" collapsed="false">
      <c r="A6" s="19" t="s">
        <v>162</v>
      </c>
      <c r="B6" s="34" t="n">
        <f aca="false">Sizing!$B$48</f>
        <v>556.482187170724</v>
      </c>
      <c r="C6" s="4" t="n">
        <f aca="false">Inputs!$B$19</f>
        <v>415</v>
      </c>
      <c r="D6" s="4" t="n">
        <v>3</v>
      </c>
      <c r="E6" s="4" t="n">
        <f aca="false">Inputs!$B$57</f>
        <v>30</v>
      </c>
      <c r="F6" s="35" t="n">
        <v>0.95</v>
      </c>
      <c r="G6" s="35" t="n">
        <v>185</v>
      </c>
      <c r="H6" s="4" t="n">
        <f aca="false">INDEX(Std_Sizes!$L$3:$L$15,MATCH(G6,Std_Sizes!$K$3:$K$15,0))</f>
        <v>460</v>
      </c>
      <c r="I6" s="36" t="n">
        <f aca="false">Inputs!$B$23*Inputs!$B$24</f>
        <v>0.696</v>
      </c>
      <c r="J6" s="4" t="n">
        <f aca="false">ROUNDUP(B6/(H6*I6),0)</f>
        <v>2</v>
      </c>
      <c r="K6" s="34" t="n">
        <f aca="false">H6*I6*J6</f>
        <v>640.32</v>
      </c>
      <c r="L6" s="4" t="str">
        <f aca="false">IF(K6&gt;=B6,"OK","FAIL")</f>
        <v>OK</v>
      </c>
      <c r="M6" s="4" t="n">
        <f aca="false">INDEX(Std_Sizes!$M$3:$M$15,MATCH(G6,Std_Sizes!$K$3:$K$15,0))</f>
        <v>0.126</v>
      </c>
      <c r="N6" s="4" t="n">
        <f aca="false">INDEX(Std_Sizes!$N$3:$N$15,MATCH(G6,Std_Sizes!$K$3:$K$15,0))</f>
        <v>0.073</v>
      </c>
      <c r="O6" s="37" t="n">
        <f aca="false">IF(D6=3,SQRT(3),2)*(B6/J6)*E6/1000*(M6*F6+N6*SQRT(1-F6^2))</f>
        <v>2.06015772569861</v>
      </c>
      <c r="P6" s="38" t="n">
        <f aca="false">O6/C6</f>
        <v>0.00496423548361112</v>
      </c>
      <c r="Q6" s="39" t="n">
        <v>0.03</v>
      </c>
      <c r="R6" s="4" t="str">
        <f aca="false">IF(P6&lt;=Q6,"OK","FAIL")</f>
        <v>OK</v>
      </c>
      <c r="S6" s="40" t="n">
        <f aca="false">ShortCircuit!$C$18</f>
        <v>41.0807294921387</v>
      </c>
      <c r="T6" s="35" t="n">
        <v>0.2</v>
      </c>
      <c r="U6" s="40" t="n">
        <f aca="false">S6*1000/J6*SQRT(T6)/143</f>
        <v>64.2372753214702</v>
      </c>
      <c r="V6" s="4" t="str">
        <f aca="false">IF(G6&gt;=U6,"OK","FAIL")</f>
        <v>OK</v>
      </c>
    </row>
    <row r="7" customFormat="false" ht="15" hidden="false" customHeight="false" outlineLevel="0" collapsed="false">
      <c r="A7" s="19" t="s">
        <v>163</v>
      </c>
      <c r="B7" s="34" t="n">
        <f aca="false">(Inputs!$B$9+Inputs!$B$10)*1000/(SQRT(3)*Inputs!$B$19*0.85)</f>
        <v>752.887664995685</v>
      </c>
      <c r="C7" s="4" t="n">
        <f aca="false">Inputs!$B$19</f>
        <v>415</v>
      </c>
      <c r="D7" s="4" t="n">
        <v>3</v>
      </c>
      <c r="E7" s="4" t="n">
        <f aca="false">Inputs!$B$58</f>
        <v>60</v>
      </c>
      <c r="F7" s="35" t="n">
        <v>0.85</v>
      </c>
      <c r="G7" s="35" t="n">
        <v>240</v>
      </c>
      <c r="H7" s="4" t="n">
        <f aca="false">INDEX(Std_Sizes!$L$3:$L$15,MATCH(G7,Std_Sizes!$K$3:$K$15,0))</f>
        <v>546</v>
      </c>
      <c r="I7" s="36" t="n">
        <f aca="false">Inputs!$B$23*Inputs!$B$24</f>
        <v>0.696</v>
      </c>
      <c r="J7" s="4" t="n">
        <f aca="false">ROUNDUP(B7/(H7*I7),0)</f>
        <v>2</v>
      </c>
      <c r="K7" s="34" t="n">
        <f aca="false">H7*I7*J7</f>
        <v>760.032</v>
      </c>
      <c r="L7" s="4" t="str">
        <f aca="false">IF(K7&gt;=B7,"OK","FAIL")</f>
        <v>OK</v>
      </c>
      <c r="M7" s="4" t="n">
        <f aca="false">INDEX(Std_Sizes!$M$3:$M$15,MATCH(G7,Std_Sizes!$K$3:$K$15,0))</f>
        <v>0.096</v>
      </c>
      <c r="N7" s="4" t="n">
        <f aca="false">INDEX(Std_Sizes!$N$3:$N$15,MATCH(G7,Std_Sizes!$K$3:$K$15,0))</f>
        <v>0.072</v>
      </c>
      <c r="O7" s="37" t="n">
        <f aca="false">IF(D7=3,SQRT(3),2)*(B7/J7)*E7/1000*(M7*F7+N7*SQRT(1-F7^2))</f>
        <v>4.67609150515017</v>
      </c>
      <c r="P7" s="38" t="n">
        <f aca="false">O7/C7</f>
        <v>0.0112676903738558</v>
      </c>
      <c r="Q7" s="39" t="n">
        <v>0.03</v>
      </c>
      <c r="R7" s="4" t="str">
        <f aca="false">IF(P7&lt;=Q7,"OK","FAIL")</f>
        <v>OK</v>
      </c>
      <c r="S7" s="40" t="n">
        <f aca="false">ShortCircuit!$C$17</f>
        <v>51.2460269727198</v>
      </c>
      <c r="T7" s="35" t="n">
        <v>0.3</v>
      </c>
      <c r="U7" s="40" t="n">
        <f aca="false">S7*1000/J7*SQRT(T7)/143</f>
        <v>98.1419753688</v>
      </c>
      <c r="V7" s="4" t="str">
        <f aca="false">IF(G7&gt;=U7,"OK","FAIL")</f>
        <v>OK</v>
      </c>
    </row>
    <row r="8" customFormat="false" ht="15" hidden="false" customHeight="false" outlineLevel="0" collapsed="false">
      <c r="A8" s="19" t="s">
        <v>276</v>
      </c>
      <c r="B8" s="34" t="n">
        <f aca="false">Sizing!$B$51</f>
        <v>22.883295194508</v>
      </c>
      <c r="C8" s="4" t="n">
        <f aca="false">Inputs!$B$49</f>
        <v>230</v>
      </c>
      <c r="D8" s="4" t="n">
        <v>1</v>
      </c>
      <c r="E8" s="4" t="n">
        <f aca="false">Inputs!$B$59</f>
        <v>25</v>
      </c>
      <c r="F8" s="35" t="n">
        <v>0.95</v>
      </c>
      <c r="G8" s="35" t="n">
        <v>6</v>
      </c>
      <c r="H8" s="4" t="n">
        <f aca="false">INDEX(Std_Sizes!$L$3:$L$15,MATCH(G8,Std_Sizes!$K$3:$K$15,0))</f>
        <v>54</v>
      </c>
      <c r="I8" s="36" t="n">
        <f aca="false">Inputs!$B$23*Inputs!$B$24</f>
        <v>0.696</v>
      </c>
      <c r="J8" s="4" t="n">
        <f aca="false">ROUNDUP(B8/(H8*I8),0)</f>
        <v>1</v>
      </c>
      <c r="K8" s="34" t="n">
        <f aca="false">H8*I8*J8</f>
        <v>37.584</v>
      </c>
      <c r="L8" s="4" t="str">
        <f aca="false">IF(K8&gt;=B8,"OK","FAIL")</f>
        <v>OK</v>
      </c>
      <c r="M8" s="4" t="n">
        <f aca="false">INDEX(Std_Sizes!$M$3:$M$15,MATCH(G8,Std_Sizes!$K$3:$K$15,0))</f>
        <v>3.93</v>
      </c>
      <c r="N8" s="4" t="n">
        <f aca="false">INDEX(Std_Sizes!$N$3:$N$15,MATCH(G8,Std_Sizes!$K$3:$K$15,0))</f>
        <v>0.1</v>
      </c>
      <c r="O8" s="37" t="n">
        <f aca="false">IF(D8=3,SQRT(3),2)*(B8/J8)*E8/1000*(M8*F8+N8*SQRT(1-F8^2))</f>
        <v>4.3074656636064</v>
      </c>
      <c r="P8" s="38" t="n">
        <f aca="false">O8/C8</f>
        <v>0.0187281115808974</v>
      </c>
      <c r="Q8" s="39" t="n">
        <v>0.03</v>
      </c>
      <c r="R8" s="4" t="str">
        <f aca="false">IF(P8&lt;=Q8,"OK","FAIL")</f>
        <v>OK</v>
      </c>
      <c r="S8" s="40" t="n">
        <f aca="false">ShortCircuit!$C$19</f>
        <v>29.8875889517783</v>
      </c>
      <c r="T8" s="35" t="s">
        <v>277</v>
      </c>
      <c r="U8" s="40" t="n">
        <f aca="false">SQRT($B$17)/143</f>
        <v>1.64000551042777</v>
      </c>
      <c r="V8" s="4" t="str">
        <f aca="false">IF(G8&gt;=U8,"OK","FAIL")</f>
        <v>OK</v>
      </c>
    </row>
    <row r="10" customFormat="false" ht="15" hidden="false" customHeight="false" outlineLevel="0" collapsed="false">
      <c r="A10" s="13" t="s">
        <v>278</v>
      </c>
      <c r="P10" s="41" t="n">
        <f aca="false">P6+P8</f>
        <v>0.0236923470645085</v>
      </c>
      <c r="Q10" s="42" t="n">
        <v>0.05</v>
      </c>
      <c r="R10" s="0" t="str">
        <f aca="false">IF(P10&lt;=Q10,"OK","FAIL")</f>
        <v>OK</v>
      </c>
    </row>
    <row r="12" customFormat="false" ht="15" hidden="false" customHeight="false" outlineLevel="0" collapsed="false">
      <c r="A12" s="43" t="s">
        <v>279</v>
      </c>
    </row>
    <row r="13" customFormat="false" ht="15" hidden="false" customHeight="false" outlineLevel="0" collapsed="false">
      <c r="A13" s="16" t="s">
        <v>280</v>
      </c>
    </row>
    <row r="14" customFormat="false" ht="15" hidden="false" customHeight="false" outlineLevel="0" collapsed="false">
      <c r="A14" s="16" t="s">
        <v>281</v>
      </c>
    </row>
    <row r="15" customFormat="false" ht="15" hidden="false" customHeight="false" outlineLevel="0" collapsed="false">
      <c r="A15" s="16" t="s">
        <v>282</v>
      </c>
    </row>
    <row r="16" customFormat="false" ht="15" hidden="false" customHeight="false" outlineLevel="0" collapsed="false">
      <c r="A16" s="16" t="s">
        <v>283</v>
      </c>
    </row>
    <row r="17" customFormat="false" ht="15" hidden="false" customHeight="false" outlineLevel="0" collapsed="false">
      <c r="A17" s="44" t="s">
        <v>284</v>
      </c>
      <c r="B17" s="45" t="n">
        <v>55000</v>
      </c>
      <c r="C17" s="16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286</v>
      </c>
    </row>
    <row r="2" customFormat="false" ht="15" hidden="false" customHeight="false" outlineLevel="0" collapsed="false">
      <c r="A2" s="2" t="s">
        <v>287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4</v>
      </c>
      <c r="D4" s="3" t="s">
        <v>59</v>
      </c>
    </row>
    <row r="5" customFormat="false" ht="15" hidden="false" customHeight="false" outlineLevel="0" collapsed="false">
      <c r="A5" s="17" t="s">
        <v>288</v>
      </c>
      <c r="B5" s="18"/>
      <c r="C5" s="18"/>
      <c r="D5" s="18"/>
    </row>
    <row r="6" customFormat="false" ht="15" hidden="false" customHeight="false" outlineLevel="0" collapsed="false">
      <c r="A6" s="19" t="s">
        <v>289</v>
      </c>
      <c r="B6" s="22" t="n">
        <f aca="false">(Inputs!$B$19/1000)^2/(Sizing!$B$7/1000)*1000</f>
        <v>68.89</v>
      </c>
      <c r="C6" s="4" t="s">
        <v>290</v>
      </c>
      <c r="D6" s="19"/>
    </row>
    <row r="7" customFormat="false" ht="15" hidden="false" customHeight="false" outlineLevel="0" collapsed="false">
      <c r="A7" s="19" t="s">
        <v>291</v>
      </c>
      <c r="B7" s="46" t="n">
        <f aca="false">(Sizing!$B$7/1000)/Inputs!$B$20</f>
        <v>0.01</v>
      </c>
      <c r="C7" s="4" t="s">
        <v>93</v>
      </c>
      <c r="D7" s="19"/>
    </row>
    <row r="8" customFormat="false" ht="15" hidden="false" customHeight="false" outlineLevel="0" collapsed="false">
      <c r="A8" s="19" t="s">
        <v>292</v>
      </c>
      <c r="B8" s="46" t="n">
        <f aca="false">ShortCircuit!$B$7+Inputs!$B$21</f>
        <v>0.0725</v>
      </c>
      <c r="C8" s="4" t="s">
        <v>93</v>
      </c>
      <c r="D8" s="19"/>
    </row>
    <row r="9" customFormat="false" ht="15" hidden="false" customHeight="false" outlineLevel="0" collapsed="false">
      <c r="A9" s="19" t="s">
        <v>293</v>
      </c>
      <c r="B9" s="22" t="n">
        <f aca="false">ShortCircuit!$B$8*ShortCircuit!$B$6</f>
        <v>4.994525</v>
      </c>
      <c r="C9" s="4" t="s">
        <v>290</v>
      </c>
      <c r="D9" s="19"/>
    </row>
    <row r="10" customFormat="false" ht="15" hidden="false" customHeight="false" outlineLevel="0" collapsed="false">
      <c r="A10" s="19" t="s">
        <v>294</v>
      </c>
      <c r="B10" s="32" t="n">
        <f aca="false">Inputs!$B$19/(SQRT(3)*ShortCircuit!$B$9/1000)/1000</f>
        <v>47.9726023423038</v>
      </c>
      <c r="C10" s="4" t="s">
        <v>26</v>
      </c>
      <c r="D10" s="19"/>
    </row>
    <row r="11" customFormat="false" ht="15" hidden="false" customHeight="false" outlineLevel="0" collapsed="false">
      <c r="A11" s="19" t="s">
        <v>295</v>
      </c>
      <c r="B11" s="21" t="n">
        <f aca="false">Inputs!$B$52*1000/(SQRT(3)*Inputs!$B$19*Inputs!$B$53)</f>
        <v>654.684926083204</v>
      </c>
      <c r="C11" s="4" t="s">
        <v>149</v>
      </c>
      <c r="D11" s="19"/>
    </row>
    <row r="12" customFormat="false" ht="15" hidden="false" customHeight="false" outlineLevel="0" collapsed="false">
      <c r="A12" s="19" t="s">
        <v>296</v>
      </c>
      <c r="B12" s="32" t="n">
        <f aca="false">Inputs!$B$54*ShortCircuit!$B$11/1000</f>
        <v>3.27342463041602</v>
      </c>
      <c r="C12" s="4" t="s">
        <v>26</v>
      </c>
      <c r="D12" s="19"/>
    </row>
    <row r="14" customFormat="false" ht="15" hidden="false" customHeight="false" outlineLevel="0" collapsed="false">
      <c r="A14" s="13" t="s">
        <v>297</v>
      </c>
    </row>
    <row r="15" customFormat="false" ht="35.05" hidden="false" customHeight="false" outlineLevel="0" collapsed="false">
      <c r="A15" s="3" t="s">
        <v>298</v>
      </c>
      <c r="B15" s="3" t="s">
        <v>299</v>
      </c>
      <c r="C15" s="3" t="s">
        <v>300</v>
      </c>
      <c r="D15" s="3" t="s">
        <v>301</v>
      </c>
      <c r="E15" s="3" t="s">
        <v>302</v>
      </c>
      <c r="F15" s="3" t="s">
        <v>39</v>
      </c>
    </row>
    <row r="16" customFormat="false" ht="15" hidden="false" customHeight="false" outlineLevel="0" collapsed="false">
      <c r="A16" s="4" t="s">
        <v>303</v>
      </c>
      <c r="B16" s="37"/>
      <c r="C16" s="40" t="n">
        <f aca="false">Inputs!$B$20/(SQRT(3)*Inputs!$B$18)</f>
        <v>13.121597027037</v>
      </c>
      <c r="D16" s="19" t="s">
        <v>304</v>
      </c>
      <c r="E16" s="4" t="n">
        <f aca="false">IFERROR(INDEX(Std_Sizes!$F$3:$F$8,COUNTIF(Std_Sizes!$F$3:$F$8,"&lt;"&amp;(C16))+1),"EXCEEDS LIST")</f>
        <v>16</v>
      </c>
      <c r="F16" s="4" t="str">
        <f aca="false">IF(E16&gt;=C16,"OK","FAIL")</f>
        <v>OK</v>
      </c>
    </row>
    <row r="17" customFormat="false" ht="15" hidden="false" customHeight="false" outlineLevel="0" collapsed="false">
      <c r="A17" s="4" t="s">
        <v>305</v>
      </c>
      <c r="B17" s="37" t="n">
        <f aca="false">ShortCircuit!$B$9</f>
        <v>4.994525</v>
      </c>
      <c r="C17" s="40" t="n">
        <f aca="false">ShortCircuit!$B$10+ShortCircuit!$B$12</f>
        <v>51.2460269727198</v>
      </c>
      <c r="D17" s="19" t="s">
        <v>306</v>
      </c>
      <c r="E17" s="4" t="n">
        <f aca="false">IFERROR(INDEX(Std_Sizes!$E$3:$E$7,COUNTIF(Std_Sizes!$E$3:$E$7,"&lt;"&amp;(C17))+1),"EXCEEDS LIST")</f>
        <v>65</v>
      </c>
      <c r="F17" s="4" t="str">
        <f aca="false">IF(E17&gt;=C17,"OK","FAIL")</f>
        <v>OK</v>
      </c>
    </row>
    <row r="18" customFormat="false" ht="15" hidden="false" customHeight="false" outlineLevel="0" collapsed="false">
      <c r="A18" s="4" t="s">
        <v>307</v>
      </c>
      <c r="B18" s="37" t="n">
        <f aca="false">B17+SQRT(Cables!$M$5^2+Cables!$N$5^2)*Cables!$E$5/Cables!$J$5</f>
        <v>5.83242714225767</v>
      </c>
      <c r="C18" s="40" t="n">
        <f aca="false">Inputs!$B$19/(SQRT(3)*B18/1000)/1000</f>
        <v>41.0807294921387</v>
      </c>
      <c r="D18" s="19" t="s">
        <v>308</v>
      </c>
      <c r="E18" s="4" t="n">
        <f aca="false">IFERROR(INDEX(Std_Sizes!$E$3:$E$7,COUNTIF(Std_Sizes!$E$3:$E$7,"&lt;"&amp;(C18))+1),"EXCEEDS LIST")</f>
        <v>50</v>
      </c>
      <c r="F18" s="4" t="str">
        <f aca="false">IF(E18&gt;=C18,"OK","FAIL")</f>
        <v>OK</v>
      </c>
    </row>
    <row r="19" customFormat="false" ht="15" hidden="false" customHeight="false" outlineLevel="0" collapsed="false">
      <c r="A19" s="4" t="s">
        <v>309</v>
      </c>
      <c r="B19" s="37" t="n">
        <f aca="false">B18+SQRT(Cables!$M$6^2+Cables!$N$6^2)*Cables!$E$6/Cables!$J$6</f>
        <v>8.01671764491523</v>
      </c>
      <c r="C19" s="40" t="n">
        <f aca="false">Inputs!$B$19/(SQRT(3)*B19/1000)/1000</f>
        <v>29.8875889517783</v>
      </c>
      <c r="D19" s="19" t="s">
        <v>310</v>
      </c>
      <c r="E19" s="4" t="n">
        <f aca="false">IFERROR(INDEX(Std_Sizes!$E$3:$E$7,COUNTIF(Std_Sizes!$E$3:$E$7,"&lt;"&amp;(C19))+1),"EXCEEDS LIST")</f>
        <v>36</v>
      </c>
      <c r="F19" s="4" t="str">
        <f aca="false">IF(E19&gt;=C19,"OK","FAIL")</f>
        <v>OK</v>
      </c>
    </row>
    <row r="20" customFormat="false" ht="15" hidden="false" customHeight="false" outlineLevel="0" collapsed="false">
      <c r="A20" s="4" t="s">
        <v>311</v>
      </c>
      <c r="B20" s="37" t="n">
        <f aca="false">B19+2*SQRT(Cables!$M$8^2+Cables!$N$8^2)*Cables!$E$8</f>
        <v>204.580320582997</v>
      </c>
      <c r="C20" s="40" t="n">
        <f aca="false">Inputs!$B$49/(B20/1000)/1000</f>
        <v>1.12425280860135</v>
      </c>
      <c r="D20" s="19" t="s">
        <v>312</v>
      </c>
      <c r="E20" s="4" t="n">
        <f aca="false">IFERROR(INDEX(Std_Sizes!$H$3:$H$6,COUNTIF(Std_Sizes!$H$3:$H$6,"&lt;"&amp;(C20))+1),"EXCEEDS LIST")</f>
        <v>6</v>
      </c>
      <c r="F20" s="4" t="str">
        <f aca="false">IF(E20&gt;=C20,"OK","FAIL")</f>
        <v>OK</v>
      </c>
    </row>
    <row r="21" customFormat="false" ht="23.85" hidden="false" customHeight="false" outlineLevel="0" collapsed="false">
      <c r="A21" s="4" t="s">
        <v>313</v>
      </c>
      <c r="B21" s="37"/>
      <c r="C21" s="40" t="n">
        <f aca="false">Sizing!$B$41/Inputs!$B$40/1000</f>
        <v>28.9834472484752</v>
      </c>
      <c r="D21" s="19" t="s">
        <v>314</v>
      </c>
      <c r="E21" s="4" t="n">
        <f aca="false">E17</f>
        <v>65</v>
      </c>
      <c r="F21" s="4" t="str">
        <f aca="false">IF(E21&gt;=C21,"OK","FAIL")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48" hidden="false" customHeight="true" outlineLevel="0" collapsed="false">
      <c r="A4" s="3" t="s">
        <v>317</v>
      </c>
      <c r="B4" s="3" t="s">
        <v>318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325</v>
      </c>
      <c r="J4" s="3" t="s">
        <v>326</v>
      </c>
      <c r="K4" s="3" t="s">
        <v>327</v>
      </c>
      <c r="L4" s="3" t="s">
        <v>328</v>
      </c>
    </row>
    <row r="5" customFormat="false" ht="15" hidden="false" customHeight="false" outlineLevel="0" collapsed="false">
      <c r="A5" s="19" t="s">
        <v>329</v>
      </c>
      <c r="B5" s="34" t="n">
        <f aca="false">Sizing!$B$8</f>
        <v>3478.01366981702</v>
      </c>
      <c r="C5" s="34" t="n">
        <f aca="false">IFERROR(INDEX(Std_Sizes!$G$3:$G$13,COUNTIF(Std_Sizes!$G$3:$G$13,"&lt;"&amp;(B5))+1),"EXCEEDS LIST")</f>
        <v>4000</v>
      </c>
      <c r="D5" s="34" t="n">
        <f aca="false">MIN(C5,ROUNDUP(B5*1.05/50,0)*50)</f>
        <v>3700</v>
      </c>
      <c r="E5" s="35" t="n">
        <v>5</v>
      </c>
      <c r="F5" s="34" t="n">
        <f aca="false">E5*D5</f>
        <v>18500</v>
      </c>
      <c r="G5" s="35" t="n">
        <v>0.4</v>
      </c>
      <c r="H5" s="40" t="n">
        <f aca="false">ShortCircuit!$C$17</f>
        <v>51.2460269727198</v>
      </c>
      <c r="I5" s="4" t="n">
        <f aca="false">ShortCircuit!$E$17</f>
        <v>65</v>
      </c>
      <c r="J5" s="4" t="str">
        <f aca="false">IF(AND(C5&gt;=D5,D5&gt;=B5),"OK","FAIL")</f>
        <v>OK</v>
      </c>
      <c r="K5" s="4" t="str">
        <f aca="false">IF(F5&lt;H5*1000,"OK","CHECK")</f>
        <v>OK</v>
      </c>
      <c r="L5" s="4" t="str">
        <f aca="false">IF(I5&gt;=H5,"OK","FAIL")</f>
        <v>OK</v>
      </c>
    </row>
    <row r="6" customFormat="false" ht="15" hidden="false" customHeight="false" outlineLevel="0" collapsed="false">
      <c r="A6" s="19" t="s">
        <v>330</v>
      </c>
      <c r="B6" s="34" t="n">
        <f aca="false">Sizing!$B$21</f>
        <v>1932.22981656501</v>
      </c>
      <c r="C6" s="34" t="n">
        <f aca="false">IFERROR(INDEX(Std_Sizes!$G$3:$G$13,COUNTIF(Std_Sizes!$G$3:$G$13,"&lt;"&amp;(B6*1.25))+1),"EXCEEDS LIST")</f>
        <v>2500</v>
      </c>
      <c r="D6" s="34" t="n">
        <f aca="false">MIN(C6,ROUNDUP(B6*1.05/50,0)*50)</f>
        <v>2050</v>
      </c>
      <c r="E6" s="35" t="n">
        <v>6</v>
      </c>
      <c r="F6" s="34" t="n">
        <f aca="false">E6*D6</f>
        <v>12300</v>
      </c>
      <c r="G6" s="35" t="n">
        <v>0.3</v>
      </c>
      <c r="H6" s="40" t="n">
        <f aca="false">ShortCircuit!$C$17</f>
        <v>51.2460269727198</v>
      </c>
      <c r="I6" s="4" t="n">
        <f aca="false">ShortCircuit!$E$17</f>
        <v>65</v>
      </c>
      <c r="J6" s="4" t="str">
        <f aca="false">IF(AND(C6&gt;=D6,D6&gt;=B6),"OK","FAIL")</f>
        <v>OK</v>
      </c>
      <c r="K6" s="4" t="str">
        <f aca="false">IF(F6&lt;H6*1000,"OK","CHECK")</f>
        <v>OK</v>
      </c>
      <c r="L6" s="4" t="str">
        <f aca="false">IF(I6&gt;=H6,"OK","FAIL")</f>
        <v>OK</v>
      </c>
    </row>
    <row r="7" customFormat="false" ht="15" hidden="false" customHeight="false" outlineLevel="0" collapsed="false">
      <c r="A7" s="19" t="s">
        <v>331</v>
      </c>
      <c r="B7" s="34" t="n">
        <f aca="false">Sizing!$B$19</f>
        <v>1669.44656151217</v>
      </c>
      <c r="C7" s="34" t="n">
        <f aca="false">IFERROR(INDEX(Std_Sizes!$G$3:$G$13,COUNTIF(Std_Sizes!$G$3:$G$13,"&lt;"&amp;(B7*1.25))+1),"EXCEEDS LIST")</f>
        <v>2500</v>
      </c>
      <c r="D7" s="34" t="n">
        <f aca="false">MIN(C7,ROUNDUP(B7*1.05/50,0)*50)</f>
        <v>1800</v>
      </c>
      <c r="E7" s="35" t="n">
        <v>6</v>
      </c>
      <c r="F7" s="34" t="n">
        <f aca="false">E7*D7</f>
        <v>10800</v>
      </c>
      <c r="G7" s="35" t="n">
        <v>0.2</v>
      </c>
      <c r="H7" s="40" t="n">
        <f aca="false">ShortCircuit!$C$18</f>
        <v>41.0807294921387</v>
      </c>
      <c r="I7" s="4" t="n">
        <f aca="false">ShortCircuit!$E$18</f>
        <v>50</v>
      </c>
      <c r="J7" s="4" t="str">
        <f aca="false">IF(AND(C7&gt;=D7,D7&gt;=B7),"OK","FAIL")</f>
        <v>OK</v>
      </c>
      <c r="K7" s="4" t="str">
        <f aca="false">IF(F7&lt;H7*1000,"OK","CHECK")</f>
        <v>OK</v>
      </c>
      <c r="L7" s="4" t="str">
        <f aca="false">IF(I7&gt;=H7,"OK","FAIL")</f>
        <v>OK</v>
      </c>
    </row>
    <row r="8" customFormat="false" ht="15" hidden="false" customHeight="false" outlineLevel="0" collapsed="false">
      <c r="A8" s="19" t="s">
        <v>332</v>
      </c>
      <c r="B8" s="34" t="n">
        <f aca="false">Sizing!$B$48</f>
        <v>556.482187170724</v>
      </c>
      <c r="C8" s="34" t="n">
        <f aca="false">IFERROR(INDEX(Std_Sizes!$G$3:$G$13,COUNTIF(Std_Sizes!$G$3:$G$13,"&lt;"&amp;(B8*1.25))+1),"EXCEEDS LIST")</f>
        <v>800</v>
      </c>
      <c r="D8" s="34" t="n">
        <f aca="false">MIN(C8,ROUNDUP(B8*1.05/50,0)*50)</f>
        <v>600</v>
      </c>
      <c r="E8" s="35" t="n">
        <v>8</v>
      </c>
      <c r="F8" s="34" t="n">
        <f aca="false">E8*D8</f>
        <v>4800</v>
      </c>
      <c r="G8" s="35" t="n">
        <v>0.1</v>
      </c>
      <c r="H8" s="40" t="n">
        <f aca="false">ShortCircuit!$C$19</f>
        <v>29.8875889517783</v>
      </c>
      <c r="I8" s="4" t="n">
        <f aca="false">ShortCircuit!$E$19</f>
        <v>36</v>
      </c>
      <c r="J8" s="4" t="str">
        <f aca="false">IF(AND(C8&gt;=D8,D8&gt;=B8),"OK","FAIL")</f>
        <v>OK</v>
      </c>
      <c r="K8" s="4" t="str">
        <f aca="false">IF(F8&lt;H8*1000,"OK","CHECK")</f>
        <v>OK</v>
      </c>
      <c r="L8" s="4" t="str">
        <f aca="false">IF(I8&gt;=H8,"OK","FAIL")</f>
        <v>OK</v>
      </c>
    </row>
    <row r="9" customFormat="false" ht="15" hidden="false" customHeight="false" outlineLevel="0" collapsed="false">
      <c r="A9" s="19" t="s">
        <v>333</v>
      </c>
      <c r="B9" s="34" t="n">
        <f aca="false">Cables!$B$7</f>
        <v>752.887664995685</v>
      </c>
      <c r="C9" s="34" t="n">
        <f aca="false">IFERROR(INDEX(Std_Sizes!$G$3:$G$13,COUNTIF(Std_Sizes!$G$3:$G$13,"&lt;"&amp;(B9*1.25))+1),"EXCEEDS LIST")</f>
        <v>1000</v>
      </c>
      <c r="D9" s="34" t="n">
        <f aca="false">MIN(C9,ROUNDUP(B9*1.05/50,0)*50)</f>
        <v>800</v>
      </c>
      <c r="E9" s="35" t="n">
        <v>6</v>
      </c>
      <c r="F9" s="34" t="n">
        <f aca="false">E9*D9</f>
        <v>4800</v>
      </c>
      <c r="G9" s="35" t="n">
        <v>0.3</v>
      </c>
      <c r="H9" s="40" t="n">
        <f aca="false">ShortCircuit!$C$17</f>
        <v>51.2460269727198</v>
      </c>
      <c r="I9" s="4" t="n">
        <f aca="false">ShortCircuit!$E$17</f>
        <v>65</v>
      </c>
      <c r="J9" s="4" t="str">
        <f aca="false">IF(AND(C9&gt;=D9,D9&gt;=B9),"OK","FAIL")</f>
        <v>OK</v>
      </c>
      <c r="K9" s="4" t="str">
        <f aca="false">IF(F9&lt;H9*1000,"OK","CHECK")</f>
        <v>OK</v>
      </c>
      <c r="L9" s="4" t="str">
        <f aca="false">IF(I9&gt;=H9,"OK","FAIL")</f>
        <v>OK</v>
      </c>
    </row>
    <row r="10" customFormat="false" ht="15" hidden="false" customHeight="false" outlineLevel="0" collapsed="false">
      <c r="A10" s="4" t="s">
        <v>334</v>
      </c>
      <c r="B10" s="40" t="n">
        <f aca="false">Sizing!$B$51</f>
        <v>22.883295194508</v>
      </c>
      <c r="C10" s="4" t="n">
        <f aca="false">Inputs!$B$50</f>
        <v>32</v>
      </c>
      <c r="D10" s="4" t="n">
        <f aca="false">Inputs!$B$50</f>
        <v>32</v>
      </c>
      <c r="E10" s="35" t="n">
        <v>10</v>
      </c>
      <c r="F10" s="4" t="n">
        <f aca="false">E10*D10</f>
        <v>320</v>
      </c>
      <c r="G10" s="35" t="n">
        <v>0</v>
      </c>
      <c r="H10" s="37" t="n">
        <f aca="false">ShortCircuit!$C$20</f>
        <v>1.12425280860135</v>
      </c>
      <c r="I10" s="4" t="n">
        <f aca="false">ShortCircuit!$E$20</f>
        <v>6</v>
      </c>
      <c r="J10" s="4" t="str">
        <f aca="false">IF(AND(C10&gt;=D10,D10&gt;=B10),"OK","FAIL")</f>
        <v>OK</v>
      </c>
      <c r="K10" s="4" t="str">
        <f aca="false">IF(F10&lt;H10*1000,"OK","CHECK")</f>
        <v>OK</v>
      </c>
      <c r="L10" s="4" t="str">
        <f aca="false">IF(I10&gt;=H10,"OK","FAIL")</f>
        <v>OK</v>
      </c>
    </row>
    <row r="12" customFormat="false" ht="15" hidden="false" customHeight="false" outlineLevel="0" collapsed="false">
      <c r="A12" s="13" t="s">
        <v>335</v>
      </c>
    </row>
    <row r="13" customFormat="false" ht="15" hidden="false" customHeight="false" outlineLevel="0" collapsed="false">
      <c r="A13" s="3" t="s">
        <v>57</v>
      </c>
      <c r="B13" s="3" t="s">
        <v>58</v>
      </c>
      <c r="C13" s="3" t="s">
        <v>4</v>
      </c>
      <c r="D13" s="3" t="s">
        <v>336</v>
      </c>
    </row>
    <row r="14" customFormat="false" ht="15" hidden="false" customHeight="false" outlineLevel="0" collapsed="false">
      <c r="A14" s="4" t="s">
        <v>337</v>
      </c>
      <c r="B14" s="40" t="n">
        <f aca="false">Sizing!$B$9</f>
        <v>131.21597027037</v>
      </c>
      <c r="C14" s="47" t="s">
        <v>149</v>
      </c>
      <c r="D14" s="47"/>
    </row>
    <row r="15" customFormat="false" ht="15" hidden="false" customHeight="false" outlineLevel="0" collapsed="false">
      <c r="A15" s="4" t="s">
        <v>338</v>
      </c>
      <c r="B15" s="48" t="n">
        <v>0.25</v>
      </c>
      <c r="C15" s="47" t="s">
        <v>11</v>
      </c>
      <c r="D15" s="47" t="s">
        <v>339</v>
      </c>
    </row>
    <row r="16" customFormat="false" ht="15" hidden="false" customHeight="false" outlineLevel="0" collapsed="false">
      <c r="A16" s="4" t="s">
        <v>340</v>
      </c>
      <c r="B16" s="49" t="n">
        <f aca="false">ROUNDUP(1.25*Protection!$B$14/10,0)*10</f>
        <v>170</v>
      </c>
      <c r="C16" s="47" t="s">
        <v>149</v>
      </c>
      <c r="D16" s="47" t="s">
        <v>341</v>
      </c>
    </row>
    <row r="17" customFormat="false" ht="15" hidden="false" customHeight="false" outlineLevel="0" collapsed="false">
      <c r="A17" s="4" t="s">
        <v>342</v>
      </c>
      <c r="B17" s="34" t="n">
        <f aca="false">ShortCircuit!$C$17*1000*Inputs!$B$19/(Inputs!$B$18*1000)</f>
        <v>1933.37283578897</v>
      </c>
      <c r="C17" s="47" t="s">
        <v>149</v>
      </c>
      <c r="D17" s="47"/>
    </row>
    <row r="18" customFormat="false" ht="15" hidden="false" customHeight="false" outlineLevel="0" collapsed="false">
      <c r="A18" s="4" t="s">
        <v>343</v>
      </c>
      <c r="B18" s="40" t="n">
        <f aca="false">Protection!$B$17/Protection!$B$16</f>
        <v>11.372781386994</v>
      </c>
      <c r="C18" s="47" t="s">
        <v>156</v>
      </c>
      <c r="D18" s="47"/>
    </row>
    <row r="19" customFormat="false" ht="15" hidden="false" customHeight="false" outlineLevel="0" collapsed="false">
      <c r="A19" s="4" t="s">
        <v>344</v>
      </c>
      <c r="B19" s="37" t="n">
        <f aca="false">Protection!$B$15*0.14/(Protection!$B$18^0.02-1)</f>
        <v>0.702444182656979</v>
      </c>
      <c r="C19" s="47" t="s">
        <v>345</v>
      </c>
      <c r="D19" s="47" t="s">
        <v>346</v>
      </c>
    </row>
    <row r="20" customFormat="false" ht="15" hidden="false" customHeight="false" outlineLevel="0" collapsed="false">
      <c r="A20" s="4" t="s">
        <v>347</v>
      </c>
      <c r="B20" s="37" t="n">
        <f aca="false">Protection!$B$19-Protection!$G$5</f>
        <v>0.302444182656979</v>
      </c>
      <c r="C20" s="47" t="s">
        <v>345</v>
      </c>
      <c r="D20" s="47" t="s">
        <v>348</v>
      </c>
    </row>
    <row r="21" customFormat="false" ht="15" hidden="false" customHeight="false" outlineLevel="0" collapsed="false">
      <c r="A21" s="4" t="s">
        <v>349</v>
      </c>
      <c r="B21" s="4" t="str">
        <f aca="false">IF(Protection!$B$20&gt;=0.3,"OK","INCREASE TMS")</f>
        <v>OK</v>
      </c>
      <c r="C21" s="47"/>
      <c r="D21" s="47"/>
    </row>
    <row r="22" customFormat="false" ht="15" hidden="false" customHeight="false" outlineLevel="0" collapsed="false">
      <c r="A22" s="4" t="s">
        <v>350</v>
      </c>
      <c r="B22" s="34" t="n">
        <f aca="false">ROUNDUP(1.15*Protection!$B$17/100,0)*100</f>
        <v>2300</v>
      </c>
      <c r="C22" s="47" t="s">
        <v>149</v>
      </c>
      <c r="D22" s="47" t="s">
        <v>351</v>
      </c>
    </row>
    <row r="23" customFormat="false" ht="15" hidden="false" customHeight="false" outlineLevel="0" collapsed="false">
      <c r="A23" s="4" t="s">
        <v>352</v>
      </c>
      <c r="B23" s="34" t="n">
        <f aca="false">10*Protection!$B$14</f>
        <v>1312.1597027037</v>
      </c>
      <c r="C23" s="47" t="s">
        <v>149</v>
      </c>
      <c r="D23" s="47"/>
    </row>
    <row r="24" customFormat="false" ht="15" hidden="false" customHeight="false" outlineLevel="0" collapsed="false">
      <c r="A24" s="4" t="s">
        <v>353</v>
      </c>
      <c r="B24" s="4" t="str">
        <f aca="false">IF(AND(Protection!$B$22&gt;Protection!$B$23,Protection!$B$22&lt;ShortCircuit!$C$16*1000),"OK","CHECK")</f>
        <v>OK</v>
      </c>
      <c r="C24" s="47"/>
      <c r="D24" s="47"/>
    </row>
    <row r="26" customFormat="false" ht="15" hidden="false" customHeight="false" outlineLevel="0" collapsed="false">
      <c r="A26" s="13" t="s">
        <v>354</v>
      </c>
    </row>
    <row r="27" customFormat="false" ht="23.85" hidden="false" customHeight="false" outlineLevel="0" collapsed="false">
      <c r="A27" s="3" t="s">
        <v>355</v>
      </c>
      <c r="B27" s="3" t="s">
        <v>356</v>
      </c>
      <c r="C27" s="3" t="s">
        <v>357</v>
      </c>
      <c r="D27" s="3" t="s">
        <v>356</v>
      </c>
      <c r="E27" s="3" t="s">
        <v>358</v>
      </c>
      <c r="F27" s="3" t="s">
        <v>359</v>
      </c>
    </row>
    <row r="28" customFormat="false" ht="15" hidden="false" customHeight="false" outlineLevel="0" collapsed="false">
      <c r="A28" s="4" t="s">
        <v>331</v>
      </c>
      <c r="B28" s="4" t="n">
        <f aca="false">Protection!$G$7</f>
        <v>0.2</v>
      </c>
      <c r="C28" s="4" t="s">
        <v>332</v>
      </c>
      <c r="D28" s="4" t="n">
        <f aca="false">Protection!$G$8</f>
        <v>0.1</v>
      </c>
      <c r="E28" s="37" t="n">
        <f aca="false">B28-D28</f>
        <v>0.1</v>
      </c>
      <c r="F28" s="4" t="str">
        <f aca="false">IF(E28&gt;=0.1,"OK","FAIL")</f>
        <v>OK</v>
      </c>
    </row>
    <row r="29" customFormat="false" ht="15" hidden="false" customHeight="false" outlineLevel="0" collapsed="false">
      <c r="A29" s="4" t="s">
        <v>330</v>
      </c>
      <c r="B29" s="4" t="n">
        <f aca="false">Protection!$G$6</f>
        <v>0.3</v>
      </c>
      <c r="C29" s="4" t="s">
        <v>331</v>
      </c>
      <c r="D29" s="4" t="n">
        <f aca="false">Protection!$G$7</f>
        <v>0.2</v>
      </c>
      <c r="E29" s="37" t="n">
        <f aca="false">B29-D29</f>
        <v>0.1</v>
      </c>
      <c r="F29" s="4" t="str">
        <f aca="false">IF(E29&gt;=0.1,"OK","FAIL")</f>
        <v>OK</v>
      </c>
    </row>
    <row r="30" customFormat="false" ht="15" hidden="false" customHeight="false" outlineLevel="0" collapsed="false">
      <c r="A30" s="4" t="s">
        <v>360</v>
      </c>
      <c r="B30" s="4" t="n">
        <f aca="false">Protection!$G$5</f>
        <v>0.4</v>
      </c>
      <c r="C30" s="4" t="s">
        <v>330</v>
      </c>
      <c r="D30" s="4" t="n">
        <f aca="false">Protection!$G$6</f>
        <v>0.3</v>
      </c>
      <c r="E30" s="37" t="n">
        <f aca="false">B30-D30</f>
        <v>0.1</v>
      </c>
      <c r="F30" s="4" t="str">
        <f aca="false">IF(E30&gt;=0.1,"OK","FAIL")</f>
        <v>OK</v>
      </c>
    </row>
    <row r="31" customFormat="false" ht="15" hidden="false" customHeight="false" outlineLevel="0" collapsed="false">
      <c r="A31" s="4" t="s">
        <v>360</v>
      </c>
      <c r="B31" s="4" t="n">
        <f aca="false">Protection!$G$5</f>
        <v>0.4</v>
      </c>
      <c r="C31" s="4" t="s">
        <v>361</v>
      </c>
      <c r="D31" s="4" t="n">
        <f aca="false">Protection!$G$9</f>
        <v>0.3</v>
      </c>
      <c r="E31" s="37" t="n">
        <f aca="false">B31-D31</f>
        <v>0.1</v>
      </c>
      <c r="F31" s="4" t="str">
        <f aca="false">IF(E31&gt;=0.1,"OK","FAIL")</f>
        <v>OK</v>
      </c>
    </row>
    <row r="32" customFormat="false" ht="15" hidden="false" customHeight="false" outlineLevel="0" collapsed="false">
      <c r="A32" s="4" t="s">
        <v>362</v>
      </c>
      <c r="B32" s="37" t="n">
        <f aca="false">Protection!$B$19</f>
        <v>0.702444182656979</v>
      </c>
      <c r="C32" s="4" t="s">
        <v>360</v>
      </c>
      <c r="D32" s="4" t="n">
        <f aca="false">Protection!$G$5</f>
        <v>0.4</v>
      </c>
      <c r="E32" s="37" t="n">
        <f aca="false">B32-D32</f>
        <v>0.302444182656979</v>
      </c>
      <c r="F32" s="4" t="str">
        <f aca="false">IF(E32&gt;=0.3,"OK","FAIL")</f>
        <v>OK</v>
      </c>
    </row>
    <row r="34" customFormat="false" ht="15" hidden="false" customHeight="false" outlineLevel="0" collapsed="false">
      <c r="A34" s="43" t="s">
        <v>363</v>
      </c>
    </row>
    <row r="35" customFormat="false" ht="15" hidden="false" customHeight="false" outlineLevel="0" collapsed="false">
      <c r="A35" s="50" t="s">
        <v>364</v>
      </c>
    </row>
    <row r="36" customFormat="false" ht="15" hidden="false" customHeight="false" outlineLevel="0" collapsed="false">
      <c r="A36" s="50" t="s">
        <v>365</v>
      </c>
    </row>
    <row r="37" customFormat="false" ht="15" hidden="false" customHeight="false" outlineLevel="0" collapsed="false">
      <c r="A37" s="50" t="s">
        <v>366</v>
      </c>
    </row>
    <row r="38" customFormat="false" ht="15" hidden="false" customHeight="false" outlineLevel="0" collapsed="false">
      <c r="A38" s="50" t="s">
        <v>367</v>
      </c>
    </row>
    <row r="39" customFormat="false" ht="15" hidden="false" customHeight="false" outlineLevel="0" collapsed="false">
      <c r="A39" s="50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369</v>
      </c>
    </row>
    <row r="2" customFormat="false" ht="15" hidden="false" customHeight="false" outlineLevel="0" collapsed="false">
      <c r="A2" s="2" t="s">
        <v>370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4</v>
      </c>
      <c r="D4" s="3" t="s">
        <v>336</v>
      </c>
    </row>
    <row r="5" customFormat="false" ht="15" hidden="false" customHeight="false" outlineLevel="0" collapsed="false">
      <c r="A5" s="4" t="s">
        <v>371</v>
      </c>
      <c r="B5" s="51" t="n">
        <v>0.995</v>
      </c>
      <c r="C5" s="4" t="s">
        <v>11</v>
      </c>
      <c r="D5" s="4" t="s">
        <v>372</v>
      </c>
    </row>
    <row r="6" customFormat="false" ht="15" hidden="false" customHeight="false" outlineLevel="0" collapsed="false">
      <c r="A6" s="4" t="s">
        <v>373</v>
      </c>
      <c r="B6" s="52" t="n">
        <v>0.99</v>
      </c>
      <c r="C6" s="4" t="s">
        <v>11</v>
      </c>
      <c r="D6" s="4" t="s">
        <v>374</v>
      </c>
    </row>
    <row r="7" customFormat="false" ht="15" hidden="false" customHeight="false" outlineLevel="0" collapsed="false">
      <c r="A7" s="4" t="s">
        <v>375</v>
      </c>
      <c r="B7" s="53" t="n">
        <v>0.01</v>
      </c>
      <c r="C7" s="4" t="s">
        <v>11</v>
      </c>
      <c r="D7" s="4" t="s">
        <v>376</v>
      </c>
    </row>
    <row r="8" customFormat="false" ht="15" hidden="false" customHeight="false" outlineLevel="0" collapsed="false">
      <c r="A8" s="4" t="s">
        <v>377</v>
      </c>
      <c r="B8" s="54" t="n">
        <f aca="false">1-(1-Reliability!$B$5)*(1-Reliability!$B$6)</f>
        <v>0.99995</v>
      </c>
      <c r="C8" s="4" t="s">
        <v>11</v>
      </c>
      <c r="D8" s="4" t="s">
        <v>378</v>
      </c>
    </row>
    <row r="10" customFormat="false" ht="15" hidden="false" customHeight="false" outlineLevel="0" collapsed="false">
      <c r="A10" s="3" t="s">
        <v>379</v>
      </c>
      <c r="B10" s="3" t="s">
        <v>380</v>
      </c>
      <c r="C10" s="3" t="s">
        <v>381</v>
      </c>
      <c r="D10" s="3" t="s">
        <v>382</v>
      </c>
      <c r="E10" s="3" t="s">
        <v>383</v>
      </c>
    </row>
    <row r="11" customFormat="false" ht="15" hidden="false" customHeight="false" outlineLevel="0" collapsed="false">
      <c r="A11" s="4" t="s">
        <v>384</v>
      </c>
      <c r="B11" s="55" t="n">
        <v>500000</v>
      </c>
      <c r="C11" s="35" t="n">
        <v>24</v>
      </c>
      <c r="D11" s="56" t="n">
        <f aca="false">C11/(B11+C11)</f>
        <v>4.79976961105867E-005</v>
      </c>
      <c r="E11" s="57" t="n">
        <f aca="false">1-D11</f>
        <v>0.999952002303889</v>
      </c>
    </row>
    <row r="12" customFormat="false" ht="15" hidden="false" customHeight="false" outlineLevel="0" collapsed="false">
      <c r="A12" s="4" t="s">
        <v>193</v>
      </c>
      <c r="B12" s="55" t="n">
        <v>300000</v>
      </c>
      <c r="C12" s="35" t="n">
        <v>130</v>
      </c>
      <c r="D12" s="56" t="n">
        <f aca="false">C12/(B12+C12)</f>
        <v>0.000433145636890681</v>
      </c>
      <c r="E12" s="57" t="n">
        <f aca="false">1-D12</f>
        <v>0.999566854363109</v>
      </c>
    </row>
    <row r="13" customFormat="false" ht="15" hidden="false" customHeight="false" outlineLevel="0" collapsed="false">
      <c r="A13" s="4" t="s">
        <v>385</v>
      </c>
      <c r="B13" s="55" t="n">
        <v>1000000</v>
      </c>
      <c r="C13" s="35" t="n">
        <v>24</v>
      </c>
      <c r="D13" s="56" t="n">
        <f aca="false">C13/(B13+C13)</f>
        <v>2.39994240138237E-005</v>
      </c>
      <c r="E13" s="57" t="n">
        <f aca="false">1-D13</f>
        <v>0.999976000575986</v>
      </c>
    </row>
    <row r="14" customFormat="false" ht="15" hidden="false" customHeight="false" outlineLevel="0" collapsed="false">
      <c r="A14" s="4" t="s">
        <v>386</v>
      </c>
      <c r="B14" s="55" t="n">
        <v>250000</v>
      </c>
      <c r="C14" s="35" t="n">
        <v>8</v>
      </c>
      <c r="D14" s="56" t="n">
        <f aca="false">C14/(B14+C14)</f>
        <v>3.1998976032767E-005</v>
      </c>
      <c r="E14" s="57" t="n">
        <f aca="false">1-D14</f>
        <v>0.999968001023967</v>
      </c>
    </row>
    <row r="15" customFormat="false" ht="15" hidden="false" customHeight="false" outlineLevel="0" collapsed="false">
      <c r="A15" s="4" t="s">
        <v>387</v>
      </c>
      <c r="B15" s="55" t="n">
        <v>120000</v>
      </c>
      <c r="C15" s="35" t="n">
        <v>8</v>
      </c>
      <c r="D15" s="56" t="n">
        <f aca="false">C15/(B15+C15)</f>
        <v>6.66622225184988E-005</v>
      </c>
      <c r="E15" s="57" t="n">
        <f aca="false">1-D15</f>
        <v>0.999933337777482</v>
      </c>
    </row>
    <row r="16" customFormat="false" ht="15" hidden="false" customHeight="false" outlineLevel="0" collapsed="false">
      <c r="A16" s="4" t="s">
        <v>388</v>
      </c>
      <c r="B16" s="55" t="n">
        <v>100000</v>
      </c>
      <c r="C16" s="35" t="n">
        <v>8</v>
      </c>
      <c r="D16" s="56" t="n">
        <f aca="false">C16/(B16+C16)</f>
        <v>7.9993600511959E-005</v>
      </c>
      <c r="E16" s="57" t="n">
        <f aca="false">1-D16</f>
        <v>0.999920006399488</v>
      </c>
    </row>
    <row r="17" customFormat="false" ht="15" hidden="false" customHeight="false" outlineLevel="0" collapsed="false">
      <c r="A17" s="4" t="s">
        <v>389</v>
      </c>
      <c r="B17" s="55" t="n">
        <v>1000000</v>
      </c>
      <c r="C17" s="35" t="n">
        <v>24</v>
      </c>
      <c r="D17" s="56" t="n">
        <f aca="false">C17/(B17+C17)</f>
        <v>2.39994240138237E-005</v>
      </c>
      <c r="E17" s="57" t="n">
        <f aca="false">1-D17</f>
        <v>0.999976000575986</v>
      </c>
    </row>
    <row r="18" customFormat="false" ht="15" hidden="false" customHeight="false" outlineLevel="0" collapsed="false">
      <c r="A18" s="4" t="s">
        <v>390</v>
      </c>
      <c r="B18" s="55" t="n">
        <v>500000</v>
      </c>
      <c r="C18" s="35" t="n">
        <v>4</v>
      </c>
      <c r="D18" s="56" t="n">
        <f aca="false">C18/(B18+C18)</f>
        <v>7.999936000512E-006</v>
      </c>
      <c r="E18" s="57" t="n">
        <f aca="false">1-D18</f>
        <v>0.999992000064</v>
      </c>
    </row>
    <row r="19" customFormat="false" ht="15" hidden="false" customHeight="false" outlineLevel="0" collapsed="false">
      <c r="A19" s="4" t="s">
        <v>391</v>
      </c>
      <c r="B19" s="55" t="n">
        <v>1000000</v>
      </c>
      <c r="C19" s="35" t="n">
        <v>4</v>
      </c>
      <c r="D19" s="56" t="n">
        <f aca="false">C19/(B19+C19)</f>
        <v>3.999984000064E-006</v>
      </c>
      <c r="E19" s="57" t="n">
        <f aca="false">1-D19</f>
        <v>0.999996000016</v>
      </c>
    </row>
    <row r="22" customFormat="false" ht="23.85" hidden="false" customHeight="false" outlineLevel="0" collapsed="false">
      <c r="A22" s="3" t="s">
        <v>392</v>
      </c>
      <c r="B22" s="3" t="s">
        <v>383</v>
      </c>
      <c r="C22" s="3" t="s">
        <v>382</v>
      </c>
      <c r="D22" s="3" t="s">
        <v>393</v>
      </c>
      <c r="E22" s="3" t="s">
        <v>394</v>
      </c>
      <c r="F22" s="3" t="s">
        <v>395</v>
      </c>
    </row>
    <row r="23" customFormat="false" ht="15" hidden="false" customHeight="false" outlineLevel="0" collapsed="false">
      <c r="A23" s="4" t="s">
        <v>396</v>
      </c>
      <c r="B23" s="58" t="n">
        <f aca="false">Reliability!$B$8*PRODUCT(E11:E19)</f>
        <v>0.999230396610347</v>
      </c>
      <c r="C23" s="59" t="n">
        <f aca="false">1-B23</f>
        <v>0.000769603389652707</v>
      </c>
      <c r="D23" s="37" t="n">
        <f aca="false">C23*8760</f>
        <v>6.74172569335771</v>
      </c>
      <c r="E23" s="40" t="n">
        <f aca="false">C23*525600</f>
        <v>404.503541601463</v>
      </c>
      <c r="F23" s="4" t="str">
        <f aca="false">IF(B23&gt;=0.99995,"Tier IV level (&gt;= 99.995%)",IF(B23&gt;=0.99982,"Tier III level (&gt;= 99.982%)",IF(B23&gt;=0.99741,"Tier II level (&gt;= 99.741%)","Tier I level or below")))</f>
        <v>Tier II level (&gt;= 99.741%)</v>
      </c>
    </row>
    <row r="24" customFormat="false" ht="15" hidden="false" customHeight="false" outlineLevel="0" collapsed="false">
      <c r="A24" s="4" t="s">
        <v>397</v>
      </c>
      <c r="B24" s="58" t="n">
        <f aca="false">Reliability!$B$8*PRODUCT(E11:E14)*E17*E18*E19*(1-((1-E15*E16)^2+Reliability!$B$7*(1-E15*E16)))</f>
        <v>0.999375468646905</v>
      </c>
      <c r="C24" s="59" t="n">
        <f aca="false">1-B24</f>
        <v>0.000624531353095481</v>
      </c>
      <c r="D24" s="37" t="n">
        <f aca="false">C24*8760</f>
        <v>5.47089465311641</v>
      </c>
      <c r="E24" s="40" t="n">
        <f aca="false">C24*525600</f>
        <v>328.253679186985</v>
      </c>
      <c r="F24" s="4" t="str">
        <f aca="false">IF(B24&gt;=0.99995,"Tier IV level (&gt;= 99.995%)",IF(B24&gt;=0.99982,"Tier III level (&gt;= 99.982%)",IF(B24&gt;=0.99741,"Tier II level (&gt;= 99.741%)","Tier I level or below")))</f>
        <v>Tier II level (&gt;= 99.741%)</v>
      </c>
    </row>
    <row r="25" customFormat="false" ht="15" hidden="false" customHeight="false" outlineLevel="0" collapsed="false">
      <c r="A25" s="60" t="s">
        <v>398</v>
      </c>
      <c r="B25" s="61" t="n">
        <f aca="false">1-((1-B23)^2+Reliability!$B$7*(1-B23))</f>
        <v>0.999991711676726</v>
      </c>
      <c r="C25" s="62" t="n">
        <f aca="false">1-B25</f>
        <v>8.28832327393059E-006</v>
      </c>
      <c r="D25" s="63" t="n">
        <f aca="false">C25*8760</f>
        <v>0.0726057118796319</v>
      </c>
      <c r="E25" s="64" t="n">
        <f aca="false">C25*525600</f>
        <v>4.35634271277792</v>
      </c>
      <c r="F25" s="60" t="str">
        <f aca="false">IF(B25&gt;=0.99995,"Tier IV level (&gt;= 99.995%)",IF(B25&gt;=0.99982,"Tier III level (&gt;= 99.982%)",IF(B25&gt;=0.99741,"Tier II level (&gt;= 99.741%)","Tier I level or below")))</f>
        <v>Tier IV level (&gt;= 99.995%)</v>
      </c>
    </row>
    <row r="27" customFormat="false" ht="15" hidden="false" customHeight="false" outlineLevel="0" collapsed="false">
      <c r="A27" s="43" t="s">
        <v>279</v>
      </c>
    </row>
    <row r="28" customFormat="false" ht="15" hidden="false" customHeight="false" outlineLevel="0" collapsed="false">
      <c r="A28" s="50" t="s">
        <v>399</v>
      </c>
    </row>
    <row r="29" customFormat="false" ht="15" hidden="false" customHeight="false" outlineLevel="0" collapsed="false">
      <c r="A29" s="50" t="s">
        <v>400</v>
      </c>
    </row>
    <row r="30" customFormat="false" ht="15" hidden="false" customHeight="false" outlineLevel="0" collapsed="false">
      <c r="A30" s="50" t="s">
        <v>401</v>
      </c>
    </row>
    <row r="31" customFormat="false" ht="15" hidden="false" customHeight="false" outlineLevel="0" collapsed="false">
      <c r="A31" s="50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6" min="5" style="0" width="52"/>
  </cols>
  <sheetData>
    <row r="1" customFormat="false" ht="17.35" hidden="false" customHeight="false" outlineLevel="0" collapsed="false">
      <c r="A1" s="1" t="s">
        <v>403</v>
      </c>
    </row>
    <row r="2" customFormat="false" ht="15" hidden="false" customHeight="false" outlineLevel="0" collapsed="false">
      <c r="A2" s="2" t="s">
        <v>404</v>
      </c>
    </row>
    <row r="4" customFormat="false" ht="15" hidden="false" customHeight="false" outlineLevel="0" collapsed="false">
      <c r="A4" s="3" t="s">
        <v>405</v>
      </c>
      <c r="B4" s="3" t="s">
        <v>406</v>
      </c>
      <c r="C4" s="3" t="s">
        <v>407</v>
      </c>
      <c r="D4" s="3" t="s">
        <v>408</v>
      </c>
      <c r="E4" s="3" t="s">
        <v>409</v>
      </c>
      <c r="F4" s="3" t="s">
        <v>410</v>
      </c>
    </row>
    <row r="5" customFormat="false" ht="61.5" hidden="false" customHeight="true" outlineLevel="0" collapsed="false">
      <c r="A5" s="19" t="s">
        <v>411</v>
      </c>
      <c r="B5" s="19" t="s">
        <v>412</v>
      </c>
      <c r="C5" s="19" t="s">
        <v>413</v>
      </c>
      <c r="D5" s="19" t="s">
        <v>414</v>
      </c>
      <c r="E5" s="19" t="s">
        <v>415</v>
      </c>
      <c r="F5" s="19" t="str">
        <f aca="false">"Gen load each = "&amp;TEXT(Sizing!$B$39,"0%")&amp;" of kW rating; battery = "&amp;Inputs!$B$30&amp;" min; fuel = "&amp;Inputs!$B$42&amp;" h"</f>
        <v>Gen load each = 38% of kW rating; battery = 10 min; fuel = 24 h</v>
      </c>
    </row>
    <row r="6" customFormat="false" ht="61.5" hidden="false" customHeight="true" outlineLevel="0" collapsed="false">
      <c r="A6" s="19" t="s">
        <v>416</v>
      </c>
      <c r="B6" s="19" t="s">
        <v>417</v>
      </c>
      <c r="C6" s="19" t="s">
        <v>418</v>
      </c>
      <c r="D6" s="19" t="s">
        <v>414</v>
      </c>
      <c r="E6" s="19" t="s">
        <v>419</v>
      </c>
      <c r="F6" s="19" t="str">
        <f aca="false">"UPS-A battery autonomy = "&amp;Inputs!$B$30&amp;" min"</f>
        <v>UPS-A battery autonomy = 10 min</v>
      </c>
    </row>
    <row r="7" customFormat="false" ht="61.5" hidden="false" customHeight="true" outlineLevel="0" collapsed="false">
      <c r="A7" s="19" t="s">
        <v>420</v>
      </c>
      <c r="B7" s="19" t="s">
        <v>421</v>
      </c>
      <c r="C7" s="19" t="s">
        <v>422</v>
      </c>
      <c r="D7" s="19" t="s">
        <v>423</v>
      </c>
      <c r="E7" s="19" t="s">
        <v>424</v>
      </c>
      <c r="F7" s="19" t="str">
        <f aca="false">"TR-B loading at failover = "&amp;TEXT(Sizing!$B$11,"0%")&amp;" of "&amp;Sizing!$B$7&amp;" kVA"</f>
        <v>TR-B loading at failover = 67% of 2500 kVA</v>
      </c>
    </row>
    <row r="8" customFormat="false" ht="61.5" hidden="false" customHeight="true" outlineLevel="0" collapsed="false">
      <c r="A8" s="19" t="s">
        <v>425</v>
      </c>
      <c r="B8" s="19" t="s">
        <v>426</v>
      </c>
      <c r="C8" s="19" t="s">
        <v>427</v>
      </c>
      <c r="D8" s="19" t="s">
        <v>414</v>
      </c>
      <c r="E8" s="19" t="s">
        <v>428</v>
      </c>
      <c r="F8" s="19" t="str">
        <f aca="false">"UPS-B loading at failover = "&amp;TEXT(Sizing!$B$18,"0%")&amp;" (limit 100%)"</f>
        <v>UPS-B loading at failover = 83% (limit 100%)</v>
      </c>
    </row>
    <row r="9" customFormat="false" ht="61.5" hidden="false" customHeight="true" outlineLevel="0" collapsed="false">
      <c r="A9" s="19" t="s">
        <v>429</v>
      </c>
      <c r="B9" s="19" t="s">
        <v>430</v>
      </c>
      <c r="C9" s="19" t="s">
        <v>431</v>
      </c>
      <c r="D9" s="19" t="s">
        <v>432</v>
      </c>
      <c r="E9" s="19" t="s">
        <v>433</v>
      </c>
      <c r="F9" s="19" t="str">
        <f aca="false">"Battery ride-through = "&amp;Inputs!$B$30&amp;" min"</f>
        <v>Battery ride-through = 10 min</v>
      </c>
    </row>
    <row r="10" customFormat="false" ht="61.5" hidden="false" customHeight="true" outlineLevel="0" collapsed="false">
      <c r="A10" s="19" t="s">
        <v>434</v>
      </c>
      <c r="B10" s="19" t="s">
        <v>435</v>
      </c>
      <c r="C10" s="19" t="s">
        <v>436</v>
      </c>
      <c r="D10" s="19" t="s">
        <v>414</v>
      </c>
      <c r="E10" s="19" t="s">
        <v>437</v>
      </c>
      <c r="F10" s="19" t="str">
        <f aca="false">"Rack feed current on B = "&amp;TEXT(Sizing!$B$51,"0.0")&amp;" A vs "&amp;Inputs!$B$50&amp;" A breaker (80% rule)"</f>
        <v>Rack feed current on B = 22.9 A vs 32 A breaker (80% rule)</v>
      </c>
    </row>
    <row r="11" customFormat="false" ht="61.5" hidden="false" customHeight="true" outlineLevel="0" collapsed="false">
      <c r="A11" s="19" t="s">
        <v>438</v>
      </c>
      <c r="B11" s="19" t="s">
        <v>439</v>
      </c>
      <c r="C11" s="19" t="s">
        <v>440</v>
      </c>
      <c r="D11" s="19" t="s">
        <v>414</v>
      </c>
      <c r="E11" s="19" t="s">
        <v>441</v>
      </c>
      <c r="F11" s="19" t="str">
        <f aca="false">"Path B loading: TR "&amp;TEXT(Sizing!$B$11,"0%")&amp;", UPS "&amp;TEXT(Sizing!$B$18,"0%")&amp;", PDU "&amp;TEXT(Sizing!$B$47,"0%")</f>
        <v>Path B loading: TR 67%, UPS 83%, PDU 66%</v>
      </c>
    </row>
    <row r="12" customFormat="false" ht="61.5" hidden="false" customHeight="true" outlineLevel="0" collapsed="false">
      <c r="A12" s="19" t="s">
        <v>442</v>
      </c>
      <c r="B12" s="19" t="s">
        <v>443</v>
      </c>
      <c r="C12" s="19" t="s">
        <v>444</v>
      </c>
      <c r="D12" s="19" t="s">
        <v>414</v>
      </c>
      <c r="E12" s="19" t="s">
        <v>445</v>
      </c>
      <c r="F12" s="19" t="str">
        <f aca="false">"Fault at PDU = "&amp;TEXT(ShortCircuit!$C$19,"0.0")&amp;" kA; PDU main tsd = "&amp;Protection!$G$8&amp;" s, UPS output tsd = "&amp;Protection!$G$7&amp;" s"</f>
        <v>Fault at PDU = 29.9 kA; PDU main tsd = 0.1 s, UPS output tsd = 0.2 s</v>
      </c>
    </row>
    <row r="13" customFormat="false" ht="61.5" hidden="false" customHeight="true" outlineLevel="0" collapsed="false">
      <c r="A13" s="19" t="s">
        <v>446</v>
      </c>
      <c r="B13" s="19" t="s">
        <v>447</v>
      </c>
      <c r="C13" s="19" t="s">
        <v>448</v>
      </c>
      <c r="D13" s="19" t="s">
        <v>449</v>
      </c>
      <c r="E13" s="19" t="s">
        <v>450</v>
      </c>
      <c r="F13" s="19" t="str">
        <f aca="false">"Common-cause factor assumed = "&amp;TEXT(Reliability!$B$7,"0.0%")</f>
        <v>Common-cause factor assumed = 1.0%</v>
      </c>
    </row>
    <row r="14" customFormat="false" ht="61.5" hidden="false" customHeight="true" outlineLevel="0" collapsed="false">
      <c r="A14" s="19" t="s">
        <v>451</v>
      </c>
      <c r="B14" s="19" t="s">
        <v>452</v>
      </c>
      <c r="C14" s="19" t="s">
        <v>453</v>
      </c>
      <c r="D14" s="19" t="s">
        <v>454</v>
      </c>
      <c r="E14" s="19" t="s">
        <v>455</v>
      </c>
      <c r="F14" s="19" t="str">
        <f aca="false">"Static transfer time is typically 4-8 ms (vendor data)"</f>
        <v>Static transfer time is typically 4-8 ms (vendor data)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456</v>
      </c>
    </row>
    <row r="2" customFormat="false" ht="15" hidden="false" customHeight="false" outlineLevel="0" collapsed="false">
      <c r="A2" s="2" t="s">
        <v>457</v>
      </c>
    </row>
    <row r="4" customFormat="false" ht="15" hidden="false" customHeight="false" outlineLevel="0" collapsed="false">
      <c r="A4" s="3" t="s">
        <v>458</v>
      </c>
      <c r="B4" s="3" t="s">
        <v>2</v>
      </c>
      <c r="C4" s="3" t="s">
        <v>459</v>
      </c>
      <c r="D4" s="3" t="s">
        <v>460</v>
      </c>
      <c r="E4" s="3" t="s">
        <v>461</v>
      </c>
      <c r="F4" s="3" t="s">
        <v>462</v>
      </c>
      <c r="G4" s="3" t="s">
        <v>463</v>
      </c>
    </row>
    <row r="5" customFormat="false" ht="15" hidden="false" customHeight="false" outlineLevel="0" collapsed="false">
      <c r="A5" s="19" t="n">
        <v>1</v>
      </c>
      <c r="B5" s="19" t="s">
        <v>464</v>
      </c>
      <c r="C5" s="19" t="str">
        <f aca="false">"11 kV VCB panel, "&amp;630&amp;" A, "&amp;ShortCircuit!$E$16&amp;" kA / 3 s"</f>
        <v>11 kV VCB panel, 630 A, 16 kA / 3 s</v>
      </c>
      <c r="D5" s="65" t="n">
        <v>2</v>
      </c>
      <c r="E5" s="65" t="n">
        <v>2</v>
      </c>
      <c r="F5" s="19" t="n">
        <f aca="false">D5*E5</f>
        <v>4</v>
      </c>
      <c r="G5" s="19" t="s">
        <v>465</v>
      </c>
    </row>
    <row r="6" customFormat="false" ht="15" hidden="false" customHeight="false" outlineLevel="0" collapsed="false">
      <c r="A6" s="19" t="n">
        <v>2</v>
      </c>
      <c r="B6" s="19" t="s">
        <v>466</v>
      </c>
      <c r="C6" s="19" t="str">
        <f aca="false">Sizing!$B$7&amp;" kVA, 11/0.415 kV, Dyn11, Z = 6.25%, ONAN"</f>
        <v>2500 kVA, 11/0.415 kV, Dyn11, Z = 6.25%, ONAN</v>
      </c>
      <c r="D6" s="65" t="n">
        <v>1</v>
      </c>
      <c r="E6" s="65" t="n">
        <v>2</v>
      </c>
      <c r="F6" s="19" t="n">
        <f aca="false">D6*E6</f>
        <v>2</v>
      </c>
      <c r="G6" s="19" t="s">
        <v>467</v>
      </c>
    </row>
    <row r="7" customFormat="false" ht="15" hidden="false" customHeight="false" outlineLevel="0" collapsed="false">
      <c r="A7" s="19" t="n">
        <v>3</v>
      </c>
      <c r="B7" s="19" t="s">
        <v>468</v>
      </c>
      <c r="C7" s="19" t="str">
        <f aca="false">Sizing!$B$13&amp;" A busduct"</f>
        <v>4000 A busduct</v>
      </c>
      <c r="D7" s="65" t="n">
        <v>1</v>
      </c>
      <c r="E7" s="65" t="n">
        <v>2</v>
      </c>
      <c r="F7" s="19" t="n">
        <f aca="false">D7*E7</f>
        <v>2</v>
      </c>
      <c r="G7" s="19"/>
    </row>
    <row r="8" customFormat="false" ht="15" hidden="false" customHeight="false" outlineLevel="0" collapsed="false">
      <c r="A8" s="19" t="n">
        <v>4</v>
      </c>
      <c r="B8" s="19" t="s">
        <v>360</v>
      </c>
      <c r="C8" s="19" t="str">
        <f aca="false">Protection!$C$5&amp;" A frame, Ir = "&amp;Protection!$D$5&amp;" A, "&amp;ShortCircuit!$E$17&amp;" kA"</f>
        <v>4000 A frame, Ir = 3700 A, 65 kA</v>
      </c>
      <c r="D8" s="65" t="n">
        <v>1</v>
      </c>
      <c r="E8" s="65" t="n">
        <v>2</v>
      </c>
      <c r="F8" s="19" t="n">
        <f aca="false">D8*E8</f>
        <v>2</v>
      </c>
      <c r="G8" s="19"/>
    </row>
    <row r="9" customFormat="false" ht="15" hidden="false" customHeight="false" outlineLevel="0" collapsed="false">
      <c r="A9" s="19" t="n">
        <v>5</v>
      </c>
      <c r="B9" s="19" t="s">
        <v>469</v>
      </c>
      <c r="C9" s="19" t="str">
        <f aca="false">Sizing!$B$13&amp;" A, 4-pole, utility / generator"</f>
        <v>4000 A, 4-pole, utility / generator</v>
      </c>
      <c r="D9" s="65" t="n">
        <v>1</v>
      </c>
      <c r="E9" s="65" t="n">
        <v>2</v>
      </c>
      <c r="F9" s="19" t="n">
        <f aca="false">D9*E9</f>
        <v>2</v>
      </c>
      <c r="G9" s="19"/>
    </row>
    <row r="10" customFormat="false" ht="15" hidden="false" customHeight="false" outlineLevel="0" collapsed="false">
      <c r="A10" s="19" t="n">
        <v>6</v>
      </c>
      <c r="B10" s="19" t="s">
        <v>470</v>
      </c>
      <c r="C10" s="19" t="str">
        <f aca="false">Sizing!$B$36&amp;" kVA standby, 415 V, "&amp;Sizing!$B$37&amp;" kW"</f>
        <v>2500 kVA standby, 415 V, 2000 kW</v>
      </c>
      <c r="D10" s="66" t="n">
        <f aca="false">Sizing!$B$40</f>
        <v>1</v>
      </c>
      <c r="E10" s="65" t="n">
        <v>2</v>
      </c>
      <c r="F10" s="19" t="n">
        <f aca="false">D10*E10</f>
        <v>2</v>
      </c>
      <c r="G10" s="19" t="s">
        <v>471</v>
      </c>
    </row>
    <row r="11" customFormat="false" ht="15" hidden="false" customHeight="false" outlineLevel="0" collapsed="false">
      <c r="A11" s="19" t="n">
        <v>7</v>
      </c>
      <c r="B11" s="19" t="s">
        <v>472</v>
      </c>
      <c r="C11" s="19" t="str">
        <f aca="false">TEXT(Sizing!$B$43,"#,##0")&amp;" L (for "&amp;Inputs!$B$42&amp;" h at failover load)"</f>
        <v>9,720 L (for 24 h at failover load)</v>
      </c>
      <c r="D11" s="66" t="n">
        <f aca="false">Sizing!$B$40</f>
        <v>1</v>
      </c>
      <c r="E11" s="65" t="n">
        <v>2</v>
      </c>
      <c r="F11" s="19" t="n">
        <f aca="false">D11*E11</f>
        <v>2</v>
      </c>
      <c r="G11" s="19" t="s">
        <v>473</v>
      </c>
    </row>
    <row r="12" customFormat="false" ht="15" hidden="false" customHeight="false" outlineLevel="0" collapsed="false">
      <c r="A12" s="19" t="n">
        <v>8</v>
      </c>
      <c r="B12" s="19" t="s">
        <v>385</v>
      </c>
      <c r="C12" s="19" t="str">
        <f aca="false">"Form 4b, incl. UPS and mechanical feeders"</f>
        <v>Form 4b, incl. UPS and mechanical feeders</v>
      </c>
      <c r="D12" s="65" t="n">
        <v>1</v>
      </c>
      <c r="E12" s="65" t="n">
        <v>2</v>
      </c>
      <c r="F12" s="19" t="n">
        <f aca="false">D12*E12</f>
        <v>2</v>
      </c>
      <c r="G12" s="19"/>
    </row>
    <row r="13" customFormat="false" ht="15" hidden="false" customHeight="false" outlineLevel="0" collapsed="false">
      <c r="A13" s="19" t="n">
        <v>9</v>
      </c>
      <c r="B13" s="19" t="s">
        <v>206</v>
      </c>
      <c r="C13" s="19" t="str">
        <f aca="false">Sizing!$B$16&amp;" kVA / kW, double conversion, IEC 62040"</f>
        <v>1200 kVA / kW, double conversion, IEC 62040</v>
      </c>
      <c r="D13" s="65" t="n">
        <v>1</v>
      </c>
      <c r="E13" s="65" t="n">
        <v>2</v>
      </c>
      <c r="F13" s="19" t="n">
        <f aca="false">D13*E13</f>
        <v>2</v>
      </c>
      <c r="G13" s="19"/>
    </row>
    <row r="14" customFormat="false" ht="15" hidden="false" customHeight="false" outlineLevel="0" collapsed="false">
      <c r="A14" s="19" t="n">
        <v>10</v>
      </c>
      <c r="B14" s="19" t="s">
        <v>474</v>
      </c>
      <c r="C14" s="19" t="str">
        <f aca="false">Inputs!$B$36&amp;" Ah, "&amp;Inputs!$B$31&amp;" cells (480 V), VRLA"</f>
        <v>300 Ah, 240 cells (480 V), VRLA</v>
      </c>
      <c r="D14" s="66" t="n">
        <f aca="false">Sizing!$B$28</f>
        <v>4</v>
      </c>
      <c r="E14" s="65" t="n">
        <v>2</v>
      </c>
      <c r="F14" s="19" t="n">
        <f aca="false">D14*E14</f>
        <v>8</v>
      </c>
      <c r="G14" s="19" t="s">
        <v>475</v>
      </c>
    </row>
    <row r="15" customFormat="false" ht="15" hidden="false" customHeight="false" outlineLevel="0" collapsed="false">
      <c r="A15" s="19" t="n">
        <v>11</v>
      </c>
      <c r="B15" s="19" t="s">
        <v>389</v>
      </c>
      <c r="C15" s="19" t="str">
        <f aca="false">"With maintenance bypass"</f>
        <v>With maintenance bypass</v>
      </c>
      <c r="D15" s="65" t="n">
        <v>1</v>
      </c>
      <c r="E15" s="65" t="n">
        <v>2</v>
      </c>
      <c r="F15" s="19" t="n">
        <f aca="false">D15*E15</f>
        <v>2</v>
      </c>
      <c r="G15" s="19"/>
    </row>
    <row r="16" customFormat="false" ht="15" hidden="false" customHeight="false" outlineLevel="0" collapsed="false">
      <c r="A16" s="19" t="n">
        <v>12</v>
      </c>
      <c r="B16" s="19" t="s">
        <v>390</v>
      </c>
      <c r="C16" s="19" t="str">
        <f aca="false">Sizing!$B$46&amp;" kVA, 415/230 V, with isolation transformer or static"</f>
        <v>400 kVA, 415/230 V, with isolation transformer or static</v>
      </c>
      <c r="D16" s="19" t="n">
        <f aca="false">Inputs!$B$45</f>
        <v>4</v>
      </c>
      <c r="E16" s="65" t="n">
        <v>2</v>
      </c>
      <c r="F16" s="19" t="n">
        <f aca="false">D16*E16</f>
        <v>8</v>
      </c>
      <c r="G16" s="19"/>
    </row>
    <row r="17" customFormat="false" ht="15" hidden="false" customHeight="false" outlineLevel="0" collapsed="false">
      <c r="A17" s="19" t="n">
        <v>13</v>
      </c>
      <c r="B17" s="19" t="s">
        <v>476</v>
      </c>
      <c r="C17" s="19" t="str">
        <f aca="false">"42-way, 32 A outgoing MCBs, metered"</f>
        <v>42-way, 32 A outgoing MCBs, metered</v>
      </c>
      <c r="D17" s="66" t="n">
        <f aca="false">Sizing!$B$50</f>
        <v>8</v>
      </c>
      <c r="E17" s="65" t="n">
        <v>2</v>
      </c>
      <c r="F17" s="19" t="n">
        <f aca="false">D17*E17</f>
        <v>16</v>
      </c>
      <c r="G17" s="19"/>
    </row>
    <row r="18" customFormat="false" ht="15" hidden="false" customHeight="false" outlineLevel="0" collapsed="false">
      <c r="A18" s="19" t="n">
        <v>14</v>
      </c>
      <c r="B18" s="19" t="s">
        <v>477</v>
      </c>
      <c r="C18" s="19" t="str">
        <f aca="false">Cables!$J$5&amp;" x 3 x 1C "&amp;Cables!$G$5&amp;" mm² Cu XLPE + PE"</f>
        <v>5 x 3 x 1C 300 mm² Cu XLPE + PE</v>
      </c>
      <c r="D18" s="19" t="n">
        <f aca="false">Cables!$J$5</f>
        <v>5</v>
      </c>
      <c r="E18" s="65" t="n">
        <v>2</v>
      </c>
      <c r="F18" s="19" t="n">
        <f aca="false">D18*E18</f>
        <v>10</v>
      </c>
      <c r="G18" s="19" t="s">
        <v>478</v>
      </c>
    </row>
    <row r="19" customFormat="false" ht="15" hidden="false" customHeight="false" outlineLevel="0" collapsed="false">
      <c r="A19" s="19" t="n">
        <v>15</v>
      </c>
      <c r="B19" s="19" t="s">
        <v>479</v>
      </c>
      <c r="C19" s="19" t="str">
        <f aca="false">Cables!$J$6&amp;" x 3 x 1C "&amp;Cables!$G$6&amp;" mm² Cu XLPE + PE"</f>
        <v>2 x 3 x 1C 185 mm² Cu XLPE + PE</v>
      </c>
      <c r="D19" s="19" t="n">
        <f aca="false">Cables!$J$6*Inputs!$B$45</f>
        <v>8</v>
      </c>
      <c r="E19" s="65" t="n">
        <v>2</v>
      </c>
      <c r="F19" s="19" t="n">
        <f aca="false">D19*E19</f>
        <v>16</v>
      </c>
      <c r="G19" s="19" t="s">
        <v>480</v>
      </c>
    </row>
    <row r="20" customFormat="false" ht="15" hidden="false" customHeight="false" outlineLevel="0" collapsed="false">
      <c r="A20" s="19" t="n">
        <v>16</v>
      </c>
      <c r="B20" s="19" t="s">
        <v>481</v>
      </c>
      <c r="C20" s="19" t="str">
        <f aca="false">Cables!$J$7&amp;" x 3 x 1C "&amp;Cables!$G$7&amp;" mm² Cu XLPE + PE"</f>
        <v>2 x 3 x 1C 240 mm² Cu XLPE + PE</v>
      </c>
      <c r="D20" s="19" t="n">
        <f aca="false">Cables!$J$7</f>
        <v>2</v>
      </c>
      <c r="E20" s="65" t="n">
        <v>2</v>
      </c>
      <c r="F20" s="19" t="n">
        <f aca="false">D20*E20</f>
        <v>4</v>
      </c>
      <c r="G20" s="19"/>
    </row>
    <row r="21" customFormat="false" ht="15" hidden="false" customHeight="false" outlineLevel="0" collapsed="false">
      <c r="A21" s="19" t="n">
        <v>17</v>
      </c>
      <c r="B21" s="19" t="s">
        <v>482</v>
      </c>
      <c r="C21" s="19" t="str">
        <f aca="false">"1-phase, "&amp;Cables!$G$8&amp;" mm² Cu XLPE, one per rack feed"</f>
        <v>1-phase, 6 mm² Cu XLPE, one per rack feed</v>
      </c>
      <c r="D21" s="19" t="n">
        <f aca="false">Inputs!$B$6</f>
        <v>200</v>
      </c>
      <c r="E21" s="65" t="n">
        <v>2</v>
      </c>
      <c r="F21" s="19" t="n">
        <f aca="false">D21*E21</f>
        <v>400</v>
      </c>
      <c r="G21" s="19" t="s">
        <v>483</v>
      </c>
    </row>
    <row r="22" customFormat="false" ht="15" hidden="false" customHeight="false" outlineLevel="0" collapsed="false">
      <c r="A22" s="19" t="n">
        <v>18</v>
      </c>
      <c r="B22" s="19" t="s">
        <v>484</v>
      </c>
      <c r="C22" s="19" t="str">
        <f aca="false">"Metered, 32 A, one per feed"</f>
        <v>Metered, 32 A, one per feed</v>
      </c>
      <c r="D22" s="19" t="n">
        <f aca="false">Inputs!$B$6</f>
        <v>200</v>
      </c>
      <c r="E22" s="65" t="n">
        <v>2</v>
      </c>
      <c r="F22" s="19" t="n">
        <f aca="false">D22*E22</f>
        <v>400</v>
      </c>
      <c r="G22" s="19"/>
    </row>
    <row r="23" customFormat="false" ht="15" hidden="false" customHeight="false" outlineLevel="0" collapsed="false">
      <c r="A23" s="19" t="n">
        <v>19</v>
      </c>
      <c r="B23" s="19" t="s">
        <v>485</v>
      </c>
      <c r="C23" s="19" t="str">
        <f aca="false">"Dual-corded racks"</f>
        <v>Dual-corded racks</v>
      </c>
      <c r="D23" s="19" t="n">
        <f aca="false">Inputs!$B$6</f>
        <v>200</v>
      </c>
      <c r="E23" s="65" t="n">
        <v>1</v>
      </c>
      <c r="F23" s="19" t="n">
        <f aca="false">D23*E23</f>
        <v>200</v>
      </c>
      <c r="G23" s="19" t="s">
        <v>486</v>
      </c>
    </row>
    <row r="24" customFormat="false" ht="23.85" hidden="false" customHeight="false" outlineLevel="0" collapsed="false">
      <c r="A24" s="19" t="n">
        <v>20</v>
      </c>
      <c r="B24" s="19" t="s">
        <v>487</v>
      </c>
      <c r="C24" s="19" t="str">
        <f aca="false">"100 A class, for single-corded loads"</f>
        <v>100 A class, for single-corded loads</v>
      </c>
      <c r="D24" s="65" t="n">
        <v>2</v>
      </c>
      <c r="E24" s="65" t="n">
        <v>1</v>
      </c>
      <c r="F24" s="19" t="n">
        <f aca="false">D24*E24</f>
        <v>2</v>
      </c>
      <c r="G24" s="19" t="s">
        <v>488</v>
      </c>
    </row>
    <row r="25" customFormat="false" ht="15" hidden="false" customHeight="false" outlineLevel="0" collapsed="false">
      <c r="A25" s="19" t="n">
        <v>21</v>
      </c>
      <c r="B25" s="19" t="s">
        <v>489</v>
      </c>
      <c r="C25" s="19" t="str">
        <f aca="false">"Type 1 at LV main, Type 2 at UPS input and PDU"</f>
        <v>Type 1 at LV main, Type 2 at UPS input and PDU</v>
      </c>
      <c r="D25" s="65" t="n">
        <v>3</v>
      </c>
      <c r="E25" s="65" t="n">
        <v>2</v>
      </c>
      <c r="F25" s="19" t="n">
        <f aca="false">D25*E25</f>
        <v>6</v>
      </c>
      <c r="G25" s="19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8" min="7" style="0" width="22"/>
    <col collapsed="false" customWidth="true" hidden="false" outlineLevel="0" max="10" min="9" style="0" width="3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491</v>
      </c>
    </row>
    <row r="2" customFormat="false" ht="42" hidden="false" customHeight="true" outlineLevel="0" collapsed="false">
      <c r="A2" s="3" t="s">
        <v>492</v>
      </c>
      <c r="B2" s="3" t="s">
        <v>493</v>
      </c>
      <c r="C2" s="3" t="s">
        <v>494</v>
      </c>
      <c r="D2" s="3" t="s">
        <v>495</v>
      </c>
      <c r="E2" s="3" t="s">
        <v>496</v>
      </c>
      <c r="F2" s="3" t="s">
        <v>497</v>
      </c>
      <c r="G2" s="3" t="s">
        <v>498</v>
      </c>
      <c r="H2" s="3" t="s">
        <v>499</v>
      </c>
      <c r="K2" s="3" t="s">
        <v>500</v>
      </c>
      <c r="L2" s="3" t="s">
        <v>501</v>
      </c>
      <c r="M2" s="3" t="s">
        <v>502</v>
      </c>
      <c r="N2" s="3" t="s">
        <v>267</v>
      </c>
    </row>
    <row r="3" customFormat="false" ht="15" hidden="false" customHeight="false" outlineLevel="0" collapsed="false">
      <c r="A3" s="67" t="n">
        <v>1000</v>
      </c>
      <c r="B3" s="67" t="n">
        <v>500</v>
      </c>
      <c r="C3" s="67" t="n">
        <v>1250</v>
      </c>
      <c r="D3" s="67" t="n">
        <v>100</v>
      </c>
      <c r="E3" s="67" t="n">
        <v>36</v>
      </c>
      <c r="F3" s="67" t="n">
        <v>12.5</v>
      </c>
      <c r="G3" s="67" t="n">
        <v>630</v>
      </c>
      <c r="H3" s="67" t="n">
        <v>6</v>
      </c>
      <c r="K3" s="67" t="n">
        <v>6</v>
      </c>
      <c r="L3" s="67" t="n">
        <v>54</v>
      </c>
      <c r="M3" s="67" t="n">
        <v>3.93</v>
      </c>
      <c r="N3" s="67" t="n">
        <v>0.1</v>
      </c>
    </row>
    <row r="4" customFormat="false" ht="15" hidden="false" customHeight="false" outlineLevel="0" collapsed="false">
      <c r="A4" s="67" t="n">
        <v>1250</v>
      </c>
      <c r="B4" s="67" t="n">
        <v>600</v>
      </c>
      <c r="C4" s="67" t="n">
        <v>1500</v>
      </c>
      <c r="D4" s="67" t="n">
        <v>150</v>
      </c>
      <c r="E4" s="67" t="n">
        <v>50</v>
      </c>
      <c r="F4" s="67" t="n">
        <v>16</v>
      </c>
      <c r="G4" s="67" t="n">
        <v>800</v>
      </c>
      <c r="H4" s="67" t="n">
        <v>10</v>
      </c>
      <c r="K4" s="67" t="n">
        <v>10</v>
      </c>
      <c r="L4" s="67" t="n">
        <v>75</v>
      </c>
      <c r="M4" s="67" t="n">
        <v>2.33</v>
      </c>
      <c r="N4" s="67" t="n">
        <v>0.094</v>
      </c>
    </row>
    <row r="5" customFormat="false" ht="15" hidden="false" customHeight="false" outlineLevel="0" collapsed="false">
      <c r="A5" s="67" t="n">
        <v>1600</v>
      </c>
      <c r="B5" s="67" t="n">
        <v>800</v>
      </c>
      <c r="C5" s="67" t="n">
        <v>1750</v>
      </c>
      <c r="D5" s="67" t="n">
        <v>200</v>
      </c>
      <c r="E5" s="67" t="n">
        <v>65</v>
      </c>
      <c r="F5" s="67" t="n">
        <v>20</v>
      </c>
      <c r="G5" s="67" t="n">
        <v>1000</v>
      </c>
      <c r="H5" s="67" t="n">
        <v>15</v>
      </c>
      <c r="K5" s="67" t="n">
        <v>16</v>
      </c>
      <c r="L5" s="67" t="n">
        <v>100</v>
      </c>
      <c r="M5" s="67" t="n">
        <v>1.47</v>
      </c>
      <c r="N5" s="67" t="n">
        <v>0.09</v>
      </c>
    </row>
    <row r="6" customFormat="false" ht="15" hidden="false" customHeight="false" outlineLevel="0" collapsed="false">
      <c r="A6" s="67" t="n">
        <v>2000</v>
      </c>
      <c r="B6" s="67" t="n">
        <v>1000</v>
      </c>
      <c r="C6" s="67" t="n">
        <v>2000</v>
      </c>
      <c r="D6" s="67" t="n">
        <v>250</v>
      </c>
      <c r="E6" s="67" t="n">
        <v>80</v>
      </c>
      <c r="F6" s="67" t="n">
        <v>25</v>
      </c>
      <c r="G6" s="67" t="n">
        <v>1250</v>
      </c>
      <c r="H6" s="67" t="n">
        <v>25</v>
      </c>
      <c r="K6" s="67" t="n">
        <v>25</v>
      </c>
      <c r="L6" s="67" t="n">
        <v>133</v>
      </c>
      <c r="M6" s="67" t="n">
        <v>0.927</v>
      </c>
      <c r="N6" s="67" t="n">
        <v>0.086</v>
      </c>
    </row>
    <row r="7" customFormat="false" ht="15" hidden="false" customHeight="false" outlineLevel="0" collapsed="false">
      <c r="A7" s="67" t="n">
        <v>2500</v>
      </c>
      <c r="B7" s="67" t="n">
        <v>1200</v>
      </c>
      <c r="C7" s="67" t="n">
        <v>2250</v>
      </c>
      <c r="D7" s="67" t="n">
        <v>300</v>
      </c>
      <c r="E7" s="67" t="n">
        <v>100</v>
      </c>
      <c r="F7" s="67" t="n">
        <v>31.5</v>
      </c>
      <c r="G7" s="67" t="n">
        <v>1600</v>
      </c>
      <c r="K7" s="67" t="n">
        <v>35</v>
      </c>
      <c r="L7" s="67" t="n">
        <v>164</v>
      </c>
      <c r="M7" s="67" t="n">
        <v>0.668</v>
      </c>
      <c r="N7" s="67" t="n">
        <v>0.083</v>
      </c>
    </row>
    <row r="8" customFormat="false" ht="15" hidden="false" customHeight="false" outlineLevel="0" collapsed="false">
      <c r="A8" s="67" t="n">
        <v>3150</v>
      </c>
      <c r="B8" s="67" t="n">
        <v>1250</v>
      </c>
      <c r="C8" s="67" t="n">
        <v>2500</v>
      </c>
      <c r="D8" s="67" t="n">
        <v>400</v>
      </c>
      <c r="F8" s="67" t="n">
        <v>40</v>
      </c>
      <c r="G8" s="67" t="n">
        <v>2000</v>
      </c>
      <c r="K8" s="67" t="n">
        <v>50</v>
      </c>
      <c r="L8" s="67" t="n">
        <v>198</v>
      </c>
      <c r="M8" s="67" t="n">
        <v>0.494</v>
      </c>
      <c r="N8" s="67" t="n">
        <v>0.081</v>
      </c>
    </row>
    <row r="9" customFormat="false" ht="15" hidden="false" customHeight="false" outlineLevel="0" collapsed="false">
      <c r="A9" s="67" t="n">
        <v>4000</v>
      </c>
      <c r="B9" s="67" t="n">
        <v>1500</v>
      </c>
      <c r="C9" s="67" t="n">
        <v>2750</v>
      </c>
      <c r="D9" s="67" t="n">
        <v>500</v>
      </c>
      <c r="G9" s="67" t="n">
        <v>2500</v>
      </c>
      <c r="K9" s="67" t="n">
        <v>70</v>
      </c>
      <c r="L9" s="67" t="n">
        <v>253</v>
      </c>
      <c r="M9" s="67" t="n">
        <v>0.342</v>
      </c>
      <c r="N9" s="67" t="n">
        <v>0.078</v>
      </c>
    </row>
    <row r="10" customFormat="false" ht="15" hidden="false" customHeight="false" outlineLevel="0" collapsed="false">
      <c r="B10" s="67" t="n">
        <v>1600</v>
      </c>
      <c r="C10" s="67" t="n">
        <v>3000</v>
      </c>
      <c r="G10" s="67" t="n">
        <v>3200</v>
      </c>
      <c r="K10" s="67" t="n">
        <v>95</v>
      </c>
      <c r="L10" s="67" t="n">
        <v>306</v>
      </c>
      <c r="M10" s="67" t="n">
        <v>0.246</v>
      </c>
      <c r="N10" s="67" t="n">
        <v>0.076</v>
      </c>
    </row>
    <row r="11" customFormat="false" ht="15" hidden="false" customHeight="false" outlineLevel="0" collapsed="false">
      <c r="B11" s="67" t="n">
        <v>2000</v>
      </c>
      <c r="G11" s="67" t="n">
        <v>4000</v>
      </c>
      <c r="K11" s="67" t="n">
        <v>120</v>
      </c>
      <c r="L11" s="67" t="n">
        <v>354</v>
      </c>
      <c r="M11" s="67" t="n">
        <v>0.195</v>
      </c>
      <c r="N11" s="67" t="n">
        <v>0.075</v>
      </c>
    </row>
    <row r="12" customFormat="false" ht="15" hidden="false" customHeight="false" outlineLevel="0" collapsed="false">
      <c r="G12" s="67" t="n">
        <v>5000</v>
      </c>
      <c r="K12" s="67" t="n">
        <v>150</v>
      </c>
      <c r="L12" s="67" t="n">
        <v>402</v>
      </c>
      <c r="M12" s="67" t="n">
        <v>0.159</v>
      </c>
      <c r="N12" s="67" t="n">
        <v>0.074</v>
      </c>
    </row>
    <row r="13" customFormat="false" ht="15" hidden="false" customHeight="false" outlineLevel="0" collapsed="false">
      <c r="G13" s="67" t="n">
        <v>6300</v>
      </c>
      <c r="K13" s="67" t="n">
        <v>185</v>
      </c>
      <c r="L13" s="67" t="n">
        <v>460</v>
      </c>
      <c r="M13" s="67" t="n">
        <v>0.126</v>
      </c>
      <c r="N13" s="67" t="n">
        <v>0.073</v>
      </c>
    </row>
    <row r="14" customFormat="false" ht="15" hidden="false" customHeight="false" outlineLevel="0" collapsed="false">
      <c r="K14" s="67" t="n">
        <v>240</v>
      </c>
      <c r="L14" s="67" t="n">
        <v>546</v>
      </c>
      <c r="M14" s="67" t="n">
        <v>0.096</v>
      </c>
      <c r="N14" s="67" t="n">
        <v>0.072</v>
      </c>
    </row>
    <row r="15" customFormat="false" ht="15" hidden="false" customHeight="false" outlineLevel="0" collapsed="false">
      <c r="K15" s="67" t="n">
        <v>300</v>
      </c>
      <c r="L15" s="67" t="n">
        <v>631</v>
      </c>
      <c r="M15" s="67" t="n">
        <v>0.077</v>
      </c>
      <c r="N15" s="67" t="n">
        <v>0.071</v>
      </c>
    </row>
    <row r="17" customFormat="false" ht="15" hidden="false" customHeight="false" outlineLevel="0" collapsed="false">
      <c r="K17" s="16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2026-10-01T17:22:34Z</dcterms:created>
  <dc:creator>openpyxl</dc:creator>
  <dc:description/>
  <dc:language>en-US</dc:language>
  <cp:lastModifiedBy/>
  <dcterms:modified xsi:type="dcterms:W3CDTF">2026-10-01T17:24:32Z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